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9d96a05cf0e6aa/Documents/"/>
    </mc:Choice>
  </mc:AlternateContent>
  <xr:revisionPtr revIDLastSave="1051" documentId="8_{D8686528-9781-45CA-BE07-277909E37D67}" xr6:coauthVersionLast="47" xr6:coauthVersionMax="47" xr10:uidLastSave="{CB07D41E-F6B8-4909-91F1-E9EB14D321CE}"/>
  <bookViews>
    <workbookView xWindow="-108" yWindow="-108" windowWidth="23256" windowHeight="12456" firstSheet="3" activeTab="7" xr2:uid="{19583100-9869-49D4-9516-34267540668B}"/>
  </bookViews>
  <sheets>
    <sheet name="raw data" sheetId="2" r:id="rId1"/>
    <sheet name="main data" sheetId="1" r:id="rId2"/>
    <sheet name="data dictionary" sheetId="3" r:id="rId3"/>
    <sheet name="notes" sheetId="4" r:id="rId4"/>
    <sheet name="obj 1 EDA &amp; ANALYSIS" sheetId="5" r:id="rId5"/>
    <sheet name="obj 2 EDA &amp;ANALYSIS" sheetId="7" r:id="rId6"/>
    <sheet name="obj 3 EDA&amp;ANALYSIS" sheetId="8" r:id="rId7"/>
    <sheet name="OBJ 4 EDA&amp;ANALYSIS" sheetId="9" r:id="rId8"/>
  </sheets>
  <definedNames>
    <definedName name="_xlnm._FilterDatabase" localSheetId="1" hidden="1">'main data'!$A$1:$AF$373</definedName>
    <definedName name="_xlnm._FilterDatabase" localSheetId="5" hidden="1">'obj 2 EDA &amp;ANALYSIS'!#REF!</definedName>
    <definedName name="ExternalData_1" localSheetId="0" hidden="1">'raw data'!$A$1:$AD$373</definedName>
  </definedName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4" i="9" l="1"/>
  <c r="AY7" i="9"/>
  <c r="AY6" i="9"/>
  <c r="AX7" i="9"/>
  <c r="AX6" i="9"/>
  <c r="AW7" i="9"/>
  <c r="AW6" i="9"/>
  <c r="AV7" i="9"/>
  <c r="AV6" i="9"/>
  <c r="AY5" i="9"/>
  <c r="AX5" i="9"/>
  <c r="AW5" i="9"/>
  <c r="AV5" i="9"/>
  <c r="AY4" i="9"/>
  <c r="AX4" i="9"/>
  <c r="AW4" i="9"/>
  <c r="AR48" i="9"/>
  <c r="AR47" i="9"/>
  <c r="AR25" i="9"/>
  <c r="AR31" i="9"/>
  <c r="AI26" i="9"/>
  <c r="AJ27" i="9"/>
  <c r="AR3" i="9"/>
  <c r="AR4" i="9"/>
  <c r="AR5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6" i="9"/>
  <c r="AR27" i="9"/>
  <c r="AR28" i="9"/>
  <c r="AR29" i="9"/>
  <c r="AR30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2" i="9"/>
  <c r="AB15" i="8"/>
  <c r="Z15" i="8"/>
  <c r="AA15" i="8"/>
  <c r="AC15" i="8"/>
  <c r="AD15" i="8"/>
  <c r="AE15" i="8"/>
  <c r="AF15" i="8"/>
  <c r="AG15" i="8"/>
  <c r="AH15" i="8"/>
  <c r="AI15" i="8"/>
  <c r="AJ15" i="8"/>
  <c r="AK15" i="8"/>
  <c r="AL15" i="8"/>
  <c r="AM15" i="8"/>
  <c r="Y15" i="8"/>
  <c r="AX7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AR7" i="8"/>
  <c r="AS7" i="8"/>
  <c r="AT7" i="8"/>
  <c r="AU7" i="8"/>
  <c r="AV7" i="8"/>
  <c r="AW7" i="8"/>
  <c r="AY7" i="8"/>
  <c r="AZ7" i="8"/>
  <c r="BA7" i="8"/>
  <c r="BB7" i="8"/>
  <c r="BC7" i="8"/>
  <c r="BD7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AS4" i="8"/>
  <c r="AT4" i="8"/>
  <c r="AU4" i="8"/>
  <c r="AV4" i="8"/>
  <c r="AW4" i="8"/>
  <c r="AX4" i="8"/>
  <c r="AY4" i="8"/>
  <c r="AZ4" i="8"/>
  <c r="BA4" i="8"/>
  <c r="BB4" i="8"/>
  <c r="BC4" i="8"/>
  <c r="BD4" i="8"/>
  <c r="AR4" i="8"/>
  <c r="AQ14" i="8"/>
  <c r="AQ15" i="8"/>
  <c r="AQ4" i="8"/>
  <c r="AQ5" i="8"/>
  <c r="AQ6" i="8"/>
  <c r="AQ7" i="8"/>
  <c r="AQ8" i="8"/>
  <c r="AQ9" i="8"/>
  <c r="AQ10" i="8"/>
  <c r="AQ11" i="8"/>
  <c r="AQ12" i="8"/>
  <c r="AQ13" i="8"/>
  <c r="R4" i="8"/>
  <c r="R5" i="8"/>
  <c r="R6" i="8"/>
  <c r="R7" i="8"/>
  <c r="R8" i="8"/>
  <c r="R9" i="8"/>
  <c r="R10" i="8"/>
  <c r="R11" i="8"/>
  <c r="R12" i="8"/>
  <c r="R13" i="8"/>
  <c r="R3" i="8"/>
  <c r="R2" i="8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2" i="1"/>
  <c r="Q4" i="7"/>
  <c r="Q9" i="7"/>
  <c r="Q8" i="7"/>
  <c r="Q7" i="7"/>
  <c r="Q6" i="7"/>
  <c r="Q5" i="7"/>
  <c r="AF251" i="1"/>
  <c r="AD262" i="1"/>
  <c r="AD263" i="1"/>
  <c r="AD264" i="1"/>
  <c r="AD265" i="1"/>
  <c r="AD261" i="1"/>
  <c r="AD260" i="1"/>
  <c r="AE16" i="5"/>
  <c r="AE7" i="5"/>
  <c r="AE8" i="5"/>
  <c r="AE9" i="5"/>
  <c r="AE10" i="5"/>
  <c r="AE11" i="5"/>
  <c r="AE12" i="5"/>
  <c r="AE13" i="5"/>
  <c r="AE14" i="5"/>
  <c r="AE15" i="5"/>
  <c r="AE6" i="5"/>
  <c r="AD16" i="5"/>
  <c r="AC16" i="5"/>
  <c r="AD7" i="5"/>
  <c r="AD8" i="5"/>
  <c r="AD9" i="5"/>
  <c r="AD10" i="5"/>
  <c r="AD11" i="5"/>
  <c r="AD12" i="5"/>
  <c r="AD13" i="5"/>
  <c r="AD14" i="5"/>
  <c r="AD15" i="5"/>
  <c r="AD6" i="5"/>
  <c r="AC7" i="5"/>
  <c r="AC6" i="5"/>
  <c r="AC8" i="5"/>
  <c r="AC9" i="5"/>
  <c r="AC10" i="5"/>
  <c r="AC11" i="5"/>
  <c r="AC12" i="5"/>
  <c r="AC13" i="5"/>
  <c r="AC14" i="5"/>
  <c r="AC15" i="5"/>
  <c r="AA16" i="5"/>
  <c r="AB16" i="5"/>
  <c r="Z16" i="5"/>
  <c r="AB7" i="5"/>
  <c r="AB13" i="5"/>
  <c r="Z7" i="5"/>
  <c r="AA15" i="5"/>
  <c r="AB15" i="5"/>
  <c r="Z15" i="5"/>
  <c r="AA7" i="5"/>
  <c r="AA14" i="5"/>
  <c r="AB14" i="5"/>
  <c r="Z14" i="5"/>
  <c r="AA13" i="5"/>
  <c r="Z13" i="5"/>
  <c r="AA12" i="5"/>
  <c r="AB12" i="5"/>
  <c r="Z12" i="5"/>
  <c r="AA11" i="5"/>
  <c r="AB11" i="5"/>
  <c r="Z11" i="5"/>
  <c r="Z10" i="5"/>
  <c r="AB10" i="5"/>
  <c r="AA10" i="5"/>
  <c r="AB9" i="5"/>
  <c r="AA9" i="5"/>
  <c r="Z9" i="5"/>
  <c r="AA8" i="5"/>
  <c r="AB8" i="5"/>
  <c r="Z8" i="5"/>
  <c r="AA6" i="5"/>
  <c r="AB6" i="5"/>
  <c r="Z6" i="5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K2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74443A-5BF2-4260-9CE0-4972F2AFAC95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</connections>
</file>

<file path=xl/sharedStrings.xml><?xml version="1.0" encoding="utf-8"?>
<sst xmlns="http://schemas.openxmlformats.org/spreadsheetml/2006/main" count="2824" uniqueCount="298">
  <si>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</si>
  <si>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</si>
  <si>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</si>
  <si>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</si>
  <si>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</si>
  <si>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</si>
  <si>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</si>
  <si>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</si>
  <si>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</si>
  <si>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</si>
  <si>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</si>
  <si>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</si>
  <si>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</si>
  <si>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</si>
  <si>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</si>
  <si>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</si>
  <si>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</si>
  <si>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</si>
  <si>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</si>
  <si>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</si>
  <si>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</si>
  <si>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</si>
  <si>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</si>
  <si>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</si>
  <si>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</si>
  <si>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</si>
  <si>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</si>
  <si>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</si>
  <si>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</si>
  <si>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</si>
  <si>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</si>
  <si>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</si>
  <si>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</si>
  <si>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</si>
  <si>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</si>
  <si>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</si>
  <si>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</si>
  <si>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</si>
  <si>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</si>
  <si>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</si>
  <si>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</si>
  <si>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</si>
  <si>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</si>
  <si>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</si>
  <si>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</si>
  <si>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</si>
  <si>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</si>
  <si>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</si>
  <si>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</si>
  <si>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</si>
  <si>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</si>
  <si>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</si>
  <si>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</si>
  <si>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</si>
  <si>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</si>
  <si>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</si>
  <si>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</si>
  <si>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</si>
  <si>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</si>
  <si>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</si>
  <si>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</si>
  <si>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</si>
  <si>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</si>
  <si>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</si>
  <si>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</si>
  <si>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</si>
  <si>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</si>
  <si>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</si>
  <si>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</si>
  <si>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</si>
  <si>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</si>
  <si>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</si>
  <si>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</si>
  <si>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</si>
  <si>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</si>
  <si>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</si>
  <si>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</si>
  <si>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</si>
  <si>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</si>
  <si>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</si>
  <si>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</si>
  <si>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</si>
  <si>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</si>
  <si>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</si>
  <si>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</si>
  <si>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</si>
  <si>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</si>
  <si>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</si>
  <si>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</si>
  <si>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</si>
  <si>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</si>
  <si>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</si>
  <si>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</si>
  <si>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</si>
  <si>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</si>
  <si>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</si>
  <si>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</si>
  <si>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</si>
  <si>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</si>
  <si>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</si>
  <si>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</si>
  <si>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</si>
  <si>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</si>
  <si>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</si>
  <si>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</si>
  <si>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</si>
  <si>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</si>
  <si>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</si>
  <si>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</si>
  <si>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</si>
  <si>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</si>
  <si>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</si>
  <si>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</si>
  <si>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</si>
  <si>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</si>
  <si>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</si>
  <si>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</si>
  <si>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</si>
  <si>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</si>
  <si>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</si>
  <si>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</si>
  <si>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</si>
  <si>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</si>
  <si>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</si>
  <si>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</si>
  <si>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</si>
  <si>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</si>
  <si>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</si>
  <si>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</si>
  <si>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</si>
  <si>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</si>
  <si>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</si>
  <si>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</si>
  <si>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</si>
  <si>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</si>
  <si>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</si>
  <si>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</si>
  <si>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</si>
  <si>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</si>
  <si>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</si>
  <si>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</si>
  <si>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</si>
  <si>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</si>
  <si>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</si>
  <si>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</si>
  <si>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</si>
  <si>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</si>
  <si>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</si>
  <si>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</si>
  <si>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</si>
  <si>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</si>
  <si>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</si>
  <si>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</si>
  <si>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</si>
  <si>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</si>
  <si>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</si>
  <si>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</si>
  <si>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</si>
  <si>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</si>
  <si>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</si>
  <si>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</si>
  <si>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</si>
  <si>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</si>
  <si>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</si>
  <si>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</si>
  <si>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DATA DICTIONARY</t>
  </si>
  <si>
    <t>It is a distinct part or category within an economy broadly divided into two categories which are rural and urban</t>
  </si>
  <si>
    <t>Year for which the CPI  index meausre is recorded for different items</t>
  </si>
  <si>
    <t>Month for which the CPI  index meausre is recorded for different items</t>
  </si>
  <si>
    <t>Index value for the type cereals and products under food category</t>
  </si>
  <si>
    <t>Index value for the type meat and fish under food category</t>
  </si>
  <si>
    <t>Index value for the type egg under food category</t>
  </si>
  <si>
    <t>Index value for the type milk and products under food category</t>
  </si>
  <si>
    <t>Index value for the type oils and fats under food category</t>
  </si>
  <si>
    <t>Index value for the type fruits under food category</t>
  </si>
  <si>
    <t>Index value for the type vegetables under food category</t>
  </si>
  <si>
    <t>Index value for the type pulses and products under food category</t>
  </si>
  <si>
    <t>Index value for the type sugar and confectionery under food category</t>
  </si>
  <si>
    <t>Index value for the type spices under food category</t>
  </si>
  <si>
    <t>Index value for the type prepared meals snacks sweets etc under food category</t>
  </si>
  <si>
    <t xml:space="preserve">Index value for the type non alcoholic beverages </t>
  </si>
  <si>
    <t xml:space="preserve">Index value for the type pan tobacco and intoxicants </t>
  </si>
  <si>
    <t>Index value for overall food category</t>
  </si>
  <si>
    <t>Index value for overall clothing and footwear  category</t>
  </si>
  <si>
    <t>Index value for the type housing under housing category</t>
  </si>
  <si>
    <t>Index value for the type fuel and light under energy category</t>
  </si>
  <si>
    <t>Index value for overall household goods and services  category</t>
  </si>
  <si>
    <t>Index value under health category</t>
  </si>
  <si>
    <t>Index value for overall transport and communication category</t>
  </si>
  <si>
    <t>Index value for recreation and amusement under category</t>
  </si>
  <si>
    <t>Index value for the education category</t>
  </si>
  <si>
    <t>Index value for  personal care and effects category</t>
  </si>
  <si>
    <t>Index value for  miscellaneous  category</t>
  </si>
  <si>
    <t>Index value for  overall general index under all categories</t>
  </si>
  <si>
    <t xml:space="preserve"> </t>
  </si>
  <si>
    <t>Index value for the type footwear under apparal category</t>
  </si>
  <si>
    <t>Index value for the type clothing under apparal category</t>
  </si>
  <si>
    <t>TIME DURATION</t>
  </si>
  <si>
    <t>AGGREGATION</t>
  </si>
  <si>
    <t>PIVOT POINT</t>
  </si>
  <si>
    <t>CATEGORIES</t>
  </si>
  <si>
    <t>MISCELLENEOUS</t>
  </si>
  <si>
    <t>MAY 2023(LATEST MONTH)</t>
  </si>
  <si>
    <t>CLOTHING AND FOOTWEAR</t>
  </si>
  <si>
    <t>HOUSEHOLD GOODS</t>
  </si>
  <si>
    <t>ESSENTIAL SERVICES</t>
  </si>
  <si>
    <t>LUXURY</t>
  </si>
  <si>
    <t>MISC</t>
  </si>
  <si>
    <t>clothing footwear clothing&amp;footwear</t>
  </si>
  <si>
    <t>health, transport&amp;comm, education</t>
  </si>
  <si>
    <t>pan tobacco intoxicants</t>
  </si>
  <si>
    <t>misc</t>
  </si>
  <si>
    <t>CATEGORY</t>
  </si>
  <si>
    <t>RURAL</t>
  </si>
  <si>
    <t>URBAN</t>
  </si>
  <si>
    <t>RURAL+URBAN</t>
  </si>
  <si>
    <t>NEW CATEGORY MAPPED</t>
  </si>
  <si>
    <t>FOOD</t>
  </si>
  <si>
    <t>CLOTHING</t>
  </si>
  <si>
    <t>HOUSING</t>
  </si>
  <si>
    <t>HEALTH</t>
  </si>
  <si>
    <t>EDUCATION</t>
  </si>
  <si>
    <t>GENERAL INDEX</t>
  </si>
  <si>
    <t>intoxicants</t>
  </si>
  <si>
    <t>OBJECTIVE 1</t>
  </si>
  <si>
    <t>sum of individual components to make a braoder category</t>
  </si>
  <si>
    <t>filtered for may 2023(latest month's) data and paste special as transpose values</t>
  </si>
  <si>
    <t>bucketed categories given into a broader category</t>
  </si>
  <si>
    <t>housing, household goods</t>
  </si>
  <si>
    <t>fuel &amp;light</t>
  </si>
  <si>
    <t>fuel &amp; light</t>
  </si>
  <si>
    <t>personal care &amp; effects, recreation&amp; amusement,</t>
  </si>
  <si>
    <t xml:space="preserve"> Prepared meals, snacks, sweets etc., non - alchoholic beverages</t>
  </si>
  <si>
    <t xml:space="preserve"> ESSENTIAL FOOD ITEMS</t>
  </si>
  <si>
    <t>INTOXICANTS</t>
  </si>
  <si>
    <t xml:space="preserve">FOOD </t>
  </si>
  <si>
    <t>TOTAL</t>
  </si>
  <si>
    <t>TRANSPORT</t>
  </si>
  <si>
    <t>FUEL &amp; LIGHT</t>
  </si>
  <si>
    <r>
      <t xml:space="preserve">TOTAL (EXCEPT </t>
    </r>
    <r>
      <rPr>
        <b/>
        <sz val="11"/>
        <color theme="1"/>
        <rFont val="Calibri"/>
        <family val="2"/>
        <scheme val="minor"/>
      </rPr>
      <t>GI</t>
    </r>
    <r>
      <rPr>
        <sz val="11"/>
        <color theme="1"/>
        <rFont val="Calibri"/>
        <family val="2"/>
        <scheme val="minor"/>
      </rPr>
      <t>)</t>
    </r>
  </si>
  <si>
    <t>TRANSPORT &amp; COMM.</t>
  </si>
  <si>
    <t xml:space="preserve">BROADER CATEGORIES </t>
  </si>
  <si>
    <t>% RURAL</t>
  </si>
  <si>
    <t>%URBAN</t>
  </si>
  <si>
    <t>%RURAL+URBAN</t>
  </si>
  <si>
    <t>(summed up)</t>
  </si>
  <si>
    <t>INSIGHTS</t>
  </si>
  <si>
    <t>FOLLOWED BY LUXURY AND THEN BY CLOTHING ..</t>
  </si>
  <si>
    <t>&gt;&gt; CLEARLY , THE FOOD CATEGORY HAS THE HIGHEST CONTRIBUTION (42%) TOWARDS THE CPI BASKET</t>
  </si>
  <si>
    <t xml:space="preserve">&gt;&gt; THE CPI CONTRIBUTION ACROSS ALL THE CATEGORIES SHOW SIMILAR TREND ACROOS ALL SECTORS </t>
  </si>
  <si>
    <t>i.e. FOR RURAL , URBAN &amp; RURAL+URBAN SIMILAR TREND OF CPI CONTRIBUTION IS SEEN</t>
  </si>
  <si>
    <t>OBJECTIVE 1:</t>
  </si>
  <si>
    <t>OBJECTIVE 2:</t>
  </si>
  <si>
    <t>INSIGHTS:</t>
  </si>
  <si>
    <t>RESEARCH STUDY:</t>
  </si>
  <si>
    <t>TO CALCULATE THE Y-O-Y INCREASE IN CPI STARTING 2017 FOR THE ENTIRE BASKET OF PRODUCTS  COMBINED</t>
  </si>
  <si>
    <r>
      <t xml:space="preserve">WE NEED TO CONSIDER THE </t>
    </r>
    <r>
      <rPr>
        <b/>
        <sz val="11"/>
        <color theme="1"/>
        <rFont val="Calibri"/>
        <family val="2"/>
        <scheme val="minor"/>
      </rPr>
      <t xml:space="preserve">GENERAL INDEX </t>
    </r>
  </si>
  <si>
    <t>THERE ARE 6 BLANK VALUES IN THE GI COLUMN</t>
  </si>
  <si>
    <t>WE WILL IMPUTE THOSE VALUES BY TAKING THE MOVING AVERAGES FOR 6 MONTHS</t>
  </si>
  <si>
    <r>
      <t xml:space="preserve">THE VALUE TO IMPUTE CAME OUT TO BE </t>
    </r>
    <r>
      <rPr>
        <b/>
        <sz val="11"/>
        <color rgb="FFC00000"/>
        <rFont val="Calibri"/>
        <family val="2"/>
        <scheme val="minor"/>
      </rPr>
      <t>150.85</t>
    </r>
    <r>
      <rPr>
        <sz val="11"/>
        <color theme="1"/>
        <rFont val="Calibri"/>
        <family val="2"/>
        <scheme val="minor"/>
      </rPr>
      <t xml:space="preserve"> , 6 VALUES WERE IMPUTED</t>
    </r>
  </si>
  <si>
    <t>YOY INFLATION</t>
  </si>
  <si>
    <t>NO DATA</t>
  </si>
  <si>
    <t>FOR YEAR 2023 WE DONOT HAVE COMPLETE DATA TO CALCULATE YOY INFLATION SO WE ARE DOING IT FROM 2017-2022</t>
  </si>
  <si>
    <t>YOY = (DEC-JAN)/JAN</t>
  </si>
  <si>
    <t>&gt;&gt;WE SEE DEFLATION IN 2018 FOLLOWED BY 7.7% INFLATION IN 2019 WHICH WAS THE HIGHEST AMONG ALL</t>
  </si>
  <si>
    <t>&gt;&gt;THE SPIKE IN INFLATION IS SEEN IN THE YEAR 2019 AND THEN THE FOLLOWING YEAR SHOWS A DOWNFALL</t>
  </si>
  <si>
    <t>WITH ROUGHLY AROUND 6% AFTER 2019</t>
  </si>
  <si>
    <t>ACCORDING TO RESEARCH STUDY WE DID , THE SPIKE IN INFLATION IN 2019 COULD BE DUE TO :</t>
  </si>
  <si>
    <t>&gt;&gt; TRADE TENSIONS DUE TO ONGOING WAR BETWEEN UNITED STATES AND AMERICA</t>
  </si>
  <si>
    <t>&gt;&gt;ATTACKS ON OIL FACILITIES IN SAUDI ARABIA IN SEPTEMBER 2019 CAUSED A SPIKE IN OIL PRICES</t>
  </si>
  <si>
    <t>&gt;&gt;RISING WAGES IN MANY COUNTIES INCLUDING USA</t>
  </si>
  <si>
    <t>&gt;&gt;GLOBAL SUPPLY CHAIN DISRUPTIONS DUE TO FACTORS LIKE TRADE CONFLICT, NATURAL DISASTERS, AND OTHER GLOBAL EVENTS</t>
  </si>
  <si>
    <t>&gt;&gt;FOOD PRICES ROSE  DUE TO FACTORS LIKE POOR HARVESTS, EXTREME WEATHER EVENTS, AND SUPPLY CHAIN ISSUES</t>
  </si>
  <si>
    <t>OBJECTIVE 3:</t>
  </si>
  <si>
    <t>&gt;&gt;</t>
  </si>
  <si>
    <t>TIME PERIOD FOR THE ANALYSIS: JUNE 2022-MAY 2023</t>
  </si>
  <si>
    <t>SECTOR</t>
  </si>
  <si>
    <t>YEAR</t>
  </si>
  <si>
    <t>MONTH</t>
  </si>
  <si>
    <t>FOOD CATEGORY</t>
  </si>
  <si>
    <t>M-O-M FOR 12 MONTHS TREND</t>
  </si>
  <si>
    <t xml:space="preserve">WE TAKE RURAL+URBAN SECTOR ONLY AS ITS NOT STATED </t>
  </si>
  <si>
    <t>M-O-M INFLATION</t>
  </si>
  <si>
    <t>&gt;&gt; HIGHEST FOOD INFLATION COULD BE SEEN IN JUNE 2022 ITSELF</t>
  </si>
  <si>
    <t>&gt;&gt; LOWEST FOOD INFLATION (DEFLATION) COULD BE SEEN IN THE MONTHS OF DEC 2022 AND FEB 2023</t>
  </si>
  <si>
    <t>FOR THE RURAL+URBAN SECTOR</t>
  </si>
  <si>
    <t>OBJECTIVE 4:</t>
  </si>
  <si>
    <t xml:space="preserve">Y-o-Y INFLATION </t>
  </si>
  <si>
    <t>&gt;&gt; BIGGEST INDIVIDUAAL CATEGORY CONTRIBUTOR WITHIN FOOD CATEGORY IS SEEN AS THE</t>
  </si>
  <si>
    <t xml:space="preserve">        SPICES CATEGORY</t>
  </si>
  <si>
    <t>MARCH 2020 WE CONSIDER ONSET OF COVID</t>
  </si>
  <si>
    <t>PRE COVID TIME DURATION FOR ANALYSIS: MARCH 2018-FEB 2019</t>
  </si>
  <si>
    <t>MARCH 2019-FEB 2020</t>
  </si>
  <si>
    <t>POST COVID TIME DURATION FOR ANALYSIS: MARCH 2020-FEB 2021</t>
  </si>
  <si>
    <t>MARCH 2021 - FEB 2022</t>
  </si>
  <si>
    <t xml:space="preserve">WE WILL EVALUATE Y-o-Y INFLATION PRE AND POST COVID TO SEE THE TREND </t>
  </si>
  <si>
    <t>WE IMPUTE THE MISSING DATA WITH MOVING AVERAGES</t>
  </si>
  <si>
    <t>PRE COVID &amp; POST COVID Y-o-Y 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</si>
</sst>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4" fillId="14" borderId="0" xfId="0" applyFont="1" applyFill="1"/>
    <xf numFmtId="0" fontId="0" fillId="15" borderId="0" xfId="0" applyFill="1"/>
    <xf numFmtId="0" fontId="4" fillId="15" borderId="0" xfId="0" applyFont="1" applyFill="1"/>
    <xf numFmtId="0" fontId="4" fillId="5" borderId="0" xfId="0" applyFont="1" applyFill="1"/>
    <xf numFmtId="17" fontId="0" fillId="0" borderId="0" xfId="0" applyNumberFormat="1"/>
    <xf numFmtId="0" fontId="0" fillId="0" borderId="1" xfId="0" applyBorder="1"/>
    <xf numFmtId="0" fontId="0" fillId="5" borderId="1" xfId="0" applyFill="1" applyBorder="1"/>
    <xf numFmtId="0" fontId="6" fillId="5" borderId="1" xfId="0" applyFont="1" applyFill="1" applyBorder="1"/>
    <xf numFmtId="0" fontId="0" fillId="2" borderId="1" xfId="0" applyFill="1" applyBorder="1"/>
    <xf numFmtId="0" fontId="0" fillId="4" borderId="1" xfId="0" applyFill="1" applyBorder="1"/>
    <xf numFmtId="0" fontId="5" fillId="16" borderId="1" xfId="0" applyFont="1" applyFill="1" applyBorder="1"/>
    <xf numFmtId="0" fontId="0" fillId="17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3" borderId="1" xfId="0" applyFill="1" applyBorder="1"/>
    <xf numFmtId="0" fontId="0" fillId="18" borderId="1" xfId="0" applyFill="1" applyBorder="1"/>
    <xf numFmtId="0" fontId="6" fillId="18" borderId="1" xfId="0" applyFont="1" applyFill="1" applyBorder="1" applyAlignment="1">
      <alignment horizontal="center"/>
    </xf>
    <xf numFmtId="0" fontId="6" fillId="7" borderId="1" xfId="0" applyFont="1" applyFill="1" applyBorder="1"/>
    <xf numFmtId="9" fontId="0" fillId="0" borderId="1" xfId="1" applyFont="1" applyBorder="1"/>
    <xf numFmtId="0" fontId="0" fillId="9" borderId="1" xfId="0" applyFill="1" applyBorder="1"/>
    <xf numFmtId="9" fontId="0" fillId="18" borderId="1" xfId="0" applyNumberFormat="1" applyFill="1" applyBorder="1"/>
    <xf numFmtId="9" fontId="0" fillId="18" borderId="1" xfId="1" applyFont="1" applyFill="1" applyBorder="1"/>
    <xf numFmtId="0" fontId="7" fillId="0" borderId="0" xfId="0" applyFont="1"/>
    <xf numFmtId="0" fontId="8" fillId="0" borderId="0" xfId="0" applyFont="1"/>
    <xf numFmtId="164" fontId="0" fillId="0" borderId="0" xfId="1" applyNumberFormat="1" applyFont="1"/>
    <xf numFmtId="0" fontId="9" fillId="0" borderId="0" xfId="0" applyFont="1"/>
    <xf numFmtId="164" fontId="0" fillId="0" borderId="1" xfId="1" applyNumberFormat="1" applyFont="1" applyBorder="1"/>
    <xf numFmtId="0" fontId="0" fillId="13" borderId="1" xfId="0" applyFill="1" applyBorder="1"/>
    <xf numFmtId="164" fontId="0" fillId="13" borderId="1" xfId="1" applyNumberFormat="1" applyFont="1" applyFill="1" applyBorder="1"/>
    <xf numFmtId="164" fontId="0" fillId="13" borderId="1" xfId="1" applyNumberFormat="1" applyFont="1" applyFill="1" applyBorder="1" applyAlignment="1">
      <alignment horizontal="right" vertical="center"/>
    </xf>
    <xf numFmtId="0" fontId="4" fillId="13" borderId="1" xfId="0" applyFont="1" applyFill="1" applyBorder="1"/>
    <xf numFmtId="164" fontId="4" fillId="0" borderId="1" xfId="1" applyNumberFormat="1" applyFont="1" applyBorder="1"/>
    <xf numFmtId="17" fontId="0" fillId="0" borderId="1" xfId="0" applyNumberFormat="1" applyBorder="1"/>
    <xf numFmtId="0" fontId="4" fillId="17" borderId="1" xfId="0" applyFont="1" applyFill="1" applyBorder="1"/>
    <xf numFmtId="164" fontId="0" fillId="8" borderId="0" xfId="1" applyNumberFormat="1" applyFont="1" applyFill="1"/>
    <xf numFmtId="0" fontId="3" fillId="0" borderId="0" xfId="0" applyFont="1"/>
    <xf numFmtId="0" fontId="0" fillId="19" borderId="0" xfId="0" applyFill="1"/>
    <xf numFmtId="0" fontId="3" fillId="19" borderId="0" xfId="0" applyFont="1" applyFill="1"/>
    <xf numFmtId="165" fontId="3" fillId="19" borderId="0" xfId="0" applyNumberFormat="1" applyFont="1" applyFill="1"/>
    <xf numFmtId="0" fontId="10" fillId="19" borderId="0" xfId="0" applyFont="1" applyFill="1"/>
    <xf numFmtId="0" fontId="0" fillId="20" borderId="0" xfId="0" applyFill="1"/>
    <xf numFmtId="0" fontId="4" fillId="20" borderId="1" xfId="0" applyFont="1" applyFill="1" applyBorder="1"/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RURAL - CONTRIBUTION</a:t>
            </a:r>
            <a:r>
              <a:rPr lang="en-US" sz="1100" b="1" baseline="0">
                <a:solidFill>
                  <a:schemeClr val="tx1"/>
                </a:solidFill>
              </a:rPr>
              <a:t> TOWARDS CPI</a:t>
            </a:r>
            <a:endParaRPr lang="en-US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EDA &amp; ANALYSIS'!$Z$5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1 EDA &amp; ANALYSIS'!$Y$6:$Y$15</c:f>
              <c:strCache>
                <c:ptCount val="10"/>
                <c:pt idx="0">
                  <c:v>FOOD </c:v>
                </c:pt>
                <c:pt idx="1">
                  <c:v>LUXURY</c:v>
                </c:pt>
                <c:pt idx="2">
                  <c:v>INTOXICANTS</c:v>
                </c:pt>
                <c:pt idx="3">
                  <c:v>CLOTHING</c:v>
                </c:pt>
                <c:pt idx="4">
                  <c:v>HOUSING</c:v>
                </c:pt>
                <c:pt idx="5">
                  <c:v>FUEL &amp; LIGHT</c:v>
                </c:pt>
                <c:pt idx="6">
                  <c:v>HEALTH</c:v>
                </c:pt>
                <c:pt idx="7">
                  <c:v>TRANSPORT &amp; COMM.</c:v>
                </c:pt>
                <c:pt idx="8">
                  <c:v>EDUCATION</c:v>
                </c:pt>
                <c:pt idx="9">
                  <c:v>MISC</c:v>
                </c:pt>
              </c:strCache>
            </c:strRef>
          </c:cat>
          <c:val>
            <c:numRef>
              <c:f>'obj 1 EDA &amp; ANALYSIS'!$Z$6:$Z$15</c:f>
              <c:numCache>
                <c:formatCode>General</c:formatCode>
                <c:ptCount val="10"/>
                <c:pt idx="0">
                  <c:v>1920.9000000000003</c:v>
                </c:pt>
                <c:pt idx="1">
                  <c:v>728.49999999999989</c:v>
                </c:pt>
                <c:pt idx="2">
                  <c:v>199.9</c:v>
                </c:pt>
                <c:pt idx="3">
                  <c:v>569.90000000000009</c:v>
                </c:pt>
                <c:pt idx="4">
                  <c:v>179.8</c:v>
                </c:pt>
                <c:pt idx="5">
                  <c:v>182.5</c:v>
                </c:pt>
                <c:pt idx="6">
                  <c:v>187.8</c:v>
                </c:pt>
                <c:pt idx="7">
                  <c:v>169.7</c:v>
                </c:pt>
                <c:pt idx="8">
                  <c:v>180.3</c:v>
                </c:pt>
                <c:pt idx="9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3-44BA-8529-ED5CEAB0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5115327"/>
        <c:axId val="2105112927"/>
      </c:barChart>
      <c:catAx>
        <c:axId val="2105115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12927"/>
        <c:crosses val="autoZero"/>
        <c:auto val="1"/>
        <c:lblAlgn val="ctr"/>
        <c:lblOffset val="100"/>
        <c:noMultiLvlLbl val="0"/>
      </c:catAx>
      <c:valAx>
        <c:axId val="210511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11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tx1"/>
                </a:solidFill>
              </a:rPr>
              <a:t>URBAN - CONTRIBUTION TOWARDS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EDA &amp; ANALYSIS'!$AA$5</c:f>
              <c:strCache>
                <c:ptCount val="1"/>
                <c:pt idx="0">
                  <c:v>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1 EDA &amp; ANALYSIS'!$Y$6:$Y$15</c:f>
              <c:strCache>
                <c:ptCount val="10"/>
                <c:pt idx="0">
                  <c:v>FOOD </c:v>
                </c:pt>
                <c:pt idx="1">
                  <c:v>LUXURY</c:v>
                </c:pt>
                <c:pt idx="2">
                  <c:v>INTOXICANTS</c:v>
                </c:pt>
                <c:pt idx="3">
                  <c:v>CLOTHING</c:v>
                </c:pt>
                <c:pt idx="4">
                  <c:v>HOUSING</c:v>
                </c:pt>
                <c:pt idx="5">
                  <c:v>FUEL &amp; LIGHT</c:v>
                </c:pt>
                <c:pt idx="6">
                  <c:v>HEALTH</c:v>
                </c:pt>
                <c:pt idx="7">
                  <c:v>TRANSPORT &amp; COMM.</c:v>
                </c:pt>
                <c:pt idx="8">
                  <c:v>EDUCATION</c:v>
                </c:pt>
                <c:pt idx="9">
                  <c:v>MISC</c:v>
                </c:pt>
              </c:strCache>
            </c:strRef>
          </c:cat>
          <c:val>
            <c:numRef>
              <c:f>'obj 1 EDA &amp; ANALYSIS'!$AA$6:$AA$15</c:f>
              <c:numCache>
                <c:formatCode>General</c:formatCode>
                <c:ptCount val="10"/>
                <c:pt idx="0">
                  <c:v>1971.5</c:v>
                </c:pt>
                <c:pt idx="1">
                  <c:v>718.4</c:v>
                </c:pt>
                <c:pt idx="2">
                  <c:v>204.2</c:v>
                </c:pt>
                <c:pt idx="3">
                  <c:v>528.70000000000005</c:v>
                </c:pt>
                <c:pt idx="4">
                  <c:v>345.7</c:v>
                </c:pt>
                <c:pt idx="5">
                  <c:v>183.4</c:v>
                </c:pt>
                <c:pt idx="6">
                  <c:v>182.2</c:v>
                </c:pt>
                <c:pt idx="7">
                  <c:v>160.4</c:v>
                </c:pt>
                <c:pt idx="8">
                  <c:v>174.8</c:v>
                </c:pt>
                <c:pt idx="9">
                  <c:v>171.6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E3-44F8-987C-4B62058ED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9252736"/>
        <c:axId val="219253216"/>
      </c:barChart>
      <c:catAx>
        <c:axId val="21925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53216"/>
        <c:crosses val="autoZero"/>
        <c:auto val="1"/>
        <c:lblAlgn val="ctr"/>
        <c:lblOffset val="100"/>
        <c:noMultiLvlLbl val="0"/>
      </c:catAx>
      <c:valAx>
        <c:axId val="21925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5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kern="1200" spc="0" baseline="0">
                <a:solidFill>
                  <a:schemeClr val="tx1"/>
                </a:solidFill>
              </a:rPr>
              <a:t>RURAL+URBAN - CONTRIBUTION TOWARDS CPI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 1 EDA &amp; ANALYSIS'!$AB$5</c:f>
              <c:strCache>
                <c:ptCount val="1"/>
                <c:pt idx="0">
                  <c:v>RURAL+URBAN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1 EDA &amp; ANALYSIS'!$Y$6:$Y$15</c:f>
              <c:strCache>
                <c:ptCount val="10"/>
                <c:pt idx="0">
                  <c:v>FOOD </c:v>
                </c:pt>
                <c:pt idx="1">
                  <c:v>LUXURY</c:v>
                </c:pt>
                <c:pt idx="2">
                  <c:v>INTOXICANTS</c:v>
                </c:pt>
                <c:pt idx="3">
                  <c:v>CLOTHING</c:v>
                </c:pt>
                <c:pt idx="4">
                  <c:v>HOUSING</c:v>
                </c:pt>
                <c:pt idx="5">
                  <c:v>FUEL &amp; LIGHT</c:v>
                </c:pt>
                <c:pt idx="6">
                  <c:v>HEALTH</c:v>
                </c:pt>
                <c:pt idx="7">
                  <c:v>TRANSPORT &amp; COMM.</c:v>
                </c:pt>
                <c:pt idx="8">
                  <c:v>EDUCATION</c:v>
                </c:pt>
                <c:pt idx="9">
                  <c:v>MISC</c:v>
                </c:pt>
              </c:strCache>
            </c:strRef>
          </c:cat>
          <c:val>
            <c:numRef>
              <c:f>'obj 1 EDA &amp; ANALYSIS'!$AB$6:$AB$15</c:f>
              <c:numCache>
                <c:formatCode>General</c:formatCode>
                <c:ptCount val="10"/>
                <c:pt idx="0">
                  <c:v>1939.3</c:v>
                </c:pt>
                <c:pt idx="1">
                  <c:v>724</c:v>
                </c:pt>
                <c:pt idx="2">
                  <c:v>201</c:v>
                </c:pt>
                <c:pt idx="3">
                  <c:v>553.20000000000005</c:v>
                </c:pt>
                <c:pt idx="4">
                  <c:v>350.79999999999995</c:v>
                </c:pt>
                <c:pt idx="5">
                  <c:v>182.8</c:v>
                </c:pt>
                <c:pt idx="6">
                  <c:v>185.7</c:v>
                </c:pt>
                <c:pt idx="7">
                  <c:v>164.8</c:v>
                </c:pt>
                <c:pt idx="8">
                  <c:v>177.1</c:v>
                </c:pt>
                <c:pt idx="9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1-439D-B35F-645B6CE49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3798575"/>
        <c:axId val="1763803855"/>
      </c:barChart>
      <c:catAx>
        <c:axId val="176379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803855"/>
        <c:crosses val="autoZero"/>
        <c:auto val="1"/>
        <c:lblAlgn val="ctr"/>
        <c:lblOffset val="100"/>
        <c:noMultiLvlLbl val="0"/>
      </c:catAx>
      <c:valAx>
        <c:axId val="17638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79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 1 EDA &amp; ANALYSIS'!$AE$5</c:f>
              <c:strCache>
                <c:ptCount val="1"/>
                <c:pt idx="0">
                  <c:v>%RURAL+URBAN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95-4E0B-995A-32E0F00D1E7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95-4E0B-995A-32E0F00D1E7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95-4E0B-995A-32E0F00D1E7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95-4E0B-995A-32E0F00D1E7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95-4E0B-995A-32E0F00D1E70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95-4E0B-995A-32E0F00D1E70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95-4E0B-995A-32E0F00D1E70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95-4E0B-995A-32E0F00D1E70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95-4E0B-995A-32E0F00D1E70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95-4E0B-995A-32E0F00D1E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 1 EDA &amp; ANALYSIS'!$Y$6:$Y$15</c:f>
              <c:strCache>
                <c:ptCount val="10"/>
                <c:pt idx="0">
                  <c:v>FOOD </c:v>
                </c:pt>
                <c:pt idx="1">
                  <c:v>LUXURY</c:v>
                </c:pt>
                <c:pt idx="2">
                  <c:v>INTOXICANTS</c:v>
                </c:pt>
                <c:pt idx="3">
                  <c:v>CLOTHING</c:v>
                </c:pt>
                <c:pt idx="4">
                  <c:v>HOUSING</c:v>
                </c:pt>
                <c:pt idx="5">
                  <c:v>FUEL &amp; LIGHT</c:v>
                </c:pt>
                <c:pt idx="6">
                  <c:v>HEALTH</c:v>
                </c:pt>
                <c:pt idx="7">
                  <c:v>TRANSPORT &amp; COMM.</c:v>
                </c:pt>
                <c:pt idx="8">
                  <c:v>EDUCATION</c:v>
                </c:pt>
                <c:pt idx="9">
                  <c:v>MISC</c:v>
                </c:pt>
              </c:strCache>
            </c:strRef>
          </c:cat>
          <c:val>
            <c:numRef>
              <c:f>'obj 1 EDA &amp; ANALYSIS'!$AE$6:$AE$15</c:f>
              <c:numCache>
                <c:formatCode>0%</c:formatCode>
                <c:ptCount val="10"/>
                <c:pt idx="0">
                  <c:v>0.41665950498453069</c:v>
                </c:pt>
                <c:pt idx="1">
                  <c:v>0.15555173599174973</c:v>
                </c:pt>
                <c:pt idx="2">
                  <c:v>4.3184943279477479E-2</c:v>
                </c:pt>
                <c:pt idx="3">
                  <c:v>0.11885527672739772</c:v>
                </c:pt>
                <c:pt idx="4">
                  <c:v>7.5369542798212424E-2</c:v>
                </c:pt>
                <c:pt idx="5">
                  <c:v>3.9274664833276039E-2</c:v>
                </c:pt>
                <c:pt idx="6">
                  <c:v>3.9897731179099338E-2</c:v>
                </c:pt>
                <c:pt idx="7">
                  <c:v>3.5407356479889997E-2</c:v>
                </c:pt>
                <c:pt idx="8">
                  <c:v>3.8050017188037119E-2</c:v>
                </c:pt>
                <c:pt idx="9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E-4968-840F-67383F7CA98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37842254154034"/>
          <c:y val="0.20076555731429857"/>
          <c:w val="0.31995491079179311"/>
          <c:h val="0.72023551473479386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CPI</a:t>
            </a:r>
            <a:r>
              <a:rPr lang="en-IN" baseline="0"/>
              <a:t> CONTRIBUTION OF CATEGORIES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'obj 1 EDA &amp; ANALYSIS'!$Y$6</c:f>
              <c:strCache>
                <c:ptCount val="1"/>
                <c:pt idx="0">
                  <c:v>FOOD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ANALYSIS'!$AC$6:$AE$6</c:f>
              <c:numCache>
                <c:formatCode>0%</c:formatCode>
                <c:ptCount val="3"/>
                <c:pt idx="0">
                  <c:v>0.42698052814083753</c:v>
                </c:pt>
                <c:pt idx="1">
                  <c:v>0.42480984291839941</c:v>
                </c:pt>
                <c:pt idx="2">
                  <c:v>0.41665950498453069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9-483D-9024-4407BCE7EA3E}"/>
            </c:ext>
          </c:extLst>
        </c:ser>
        <c:ser>
          <c:idx val="1"/>
          <c:order val="1"/>
          <c:tx>
            <c:strRef>
              <c:f>'obj 1 EDA &amp; ANALYSIS'!$Y$7</c:f>
              <c:strCache>
                <c:ptCount val="1"/>
                <c:pt idx="0">
                  <c:v>LUXURY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ANALYSIS'!$AC$7:$AE$7</c:f>
              <c:numCache>
                <c:formatCode>0%</c:formatCode>
                <c:ptCount val="3"/>
                <c:pt idx="0">
                  <c:v>0.16193207077442867</c:v>
                </c:pt>
                <c:pt idx="1">
                  <c:v>0.15479756081794477</c:v>
                </c:pt>
                <c:pt idx="2">
                  <c:v>0.15555173599174973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9-483D-9024-4407BCE7EA3E}"/>
            </c:ext>
          </c:extLst>
        </c:ser>
        <c:ser>
          <c:idx val="2"/>
          <c:order val="2"/>
          <c:tx>
            <c:strRef>
              <c:f>'obj 1 EDA &amp; ANALYSIS'!$Y$8</c:f>
              <c:strCache>
                <c:ptCount val="1"/>
                <c:pt idx="0">
                  <c:v>INTOXICANTS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ANALYSIS'!$AC$8:$AE$8</c:f>
              <c:numCache>
                <c:formatCode>0%</c:formatCode>
                <c:ptCount val="3"/>
                <c:pt idx="0">
                  <c:v>4.4434071307904319E-2</c:v>
                </c:pt>
                <c:pt idx="1">
                  <c:v>4.4000086190178624E-2</c:v>
                </c:pt>
                <c:pt idx="2">
                  <c:v>4.3184943279477479E-2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9-483D-9024-4407BCE7EA3E}"/>
            </c:ext>
          </c:extLst>
        </c:ser>
        <c:ser>
          <c:idx val="3"/>
          <c:order val="3"/>
          <c:tx>
            <c:strRef>
              <c:f>'obj 1 EDA &amp; ANALYSIS'!$Y$9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ANALYSIS'!$AC$9:$AE$9</c:f>
              <c:numCache>
                <c:formatCode>0%</c:formatCode>
                <c:ptCount val="3"/>
                <c:pt idx="0">
                  <c:v>0.12667822530452563</c:v>
                </c:pt>
                <c:pt idx="1">
                  <c:v>0.11392186860307267</c:v>
                </c:pt>
                <c:pt idx="2">
                  <c:v>0.11885527672739772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89-483D-9024-4407BCE7EA3E}"/>
            </c:ext>
          </c:extLst>
        </c:ser>
        <c:ser>
          <c:idx val="4"/>
          <c:order val="4"/>
          <c:tx>
            <c:strRef>
              <c:f>'obj 1 EDA &amp; ANALYSIS'!$Y$10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ANALYSIS'!$AC$10:$AE$10</c:f>
              <c:numCache>
                <c:formatCode>0%</c:formatCode>
                <c:ptCount val="3"/>
                <c:pt idx="0">
                  <c:v>3.9966213212412192E-2</c:v>
                </c:pt>
                <c:pt idx="1">
                  <c:v>7.4489861880238734E-2</c:v>
                </c:pt>
                <c:pt idx="2">
                  <c:v>7.5369542798212424E-2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89-483D-9024-4407BCE7EA3E}"/>
            </c:ext>
          </c:extLst>
        </c:ser>
        <c:ser>
          <c:idx val="5"/>
          <c:order val="5"/>
          <c:tx>
            <c:strRef>
              <c:f>'obj 1 EDA &amp; ANALYSIS'!$Y$11</c:f>
              <c:strCache>
                <c:ptCount val="1"/>
                <c:pt idx="0">
                  <c:v>FUEL &amp; LIGHT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ANALYSIS'!$AC$11:$AE$11</c:f>
              <c:numCache>
                <c:formatCode>0%</c:formatCode>
                <c:ptCount val="3"/>
                <c:pt idx="0">
                  <c:v>4.0566373255090236E-2</c:v>
                </c:pt>
                <c:pt idx="1">
                  <c:v>3.9518196901463076E-2</c:v>
                </c:pt>
                <c:pt idx="2">
                  <c:v>3.9274664833276039E-2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89-483D-9024-4407BCE7EA3E}"/>
            </c:ext>
          </c:extLst>
        </c:ser>
        <c:ser>
          <c:idx val="6"/>
          <c:order val="6"/>
          <c:tx>
            <c:strRef>
              <c:f>'obj 1 EDA &amp; ANALYSIS'!$Y$12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ANALYSIS'!$AC$12:$AE$12</c:f>
              <c:numCache>
                <c:formatCode>0%</c:formatCode>
                <c:ptCount val="3"/>
                <c:pt idx="0">
                  <c:v>4.174446519071752E-2</c:v>
                </c:pt>
                <c:pt idx="1">
                  <c:v>3.9259626365575638E-2</c:v>
                </c:pt>
                <c:pt idx="2">
                  <c:v>3.9897731179099338E-2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89-483D-9024-4407BCE7EA3E}"/>
            </c:ext>
          </c:extLst>
        </c:ser>
        <c:ser>
          <c:idx val="7"/>
          <c:order val="7"/>
          <c:tx>
            <c:strRef>
              <c:f>'obj 1 EDA &amp; ANALYSIS'!$Y$13</c:f>
              <c:strCache>
                <c:ptCount val="1"/>
                <c:pt idx="0">
                  <c:v>TRANSPORT &amp; COMM.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ANALYSIS'!$AC$13:$AE$13</c:f>
              <c:numCache>
                <c:formatCode>0%</c:formatCode>
                <c:ptCount val="3"/>
                <c:pt idx="0">
                  <c:v>3.7721170089801713E-2</c:v>
                </c:pt>
                <c:pt idx="1">
                  <c:v>3.4562261630287229E-2</c:v>
                </c:pt>
                <c:pt idx="2">
                  <c:v>3.5407356479889997E-2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89-483D-9024-4407BCE7EA3E}"/>
            </c:ext>
          </c:extLst>
        </c:ser>
        <c:ser>
          <c:idx val="8"/>
          <c:order val="8"/>
          <c:tx>
            <c:strRef>
              <c:f>'obj 1 EDA &amp; ANALYSIS'!$Y$14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ANALYSIS'!$AC$14:$AE$14</c:f>
              <c:numCache>
                <c:formatCode>0%</c:formatCode>
                <c:ptCount val="3"/>
                <c:pt idx="0">
                  <c:v>4.0077353961056272E-2</c:v>
                </c:pt>
                <c:pt idx="1">
                  <c:v>3.7665108060936453E-2</c:v>
                </c:pt>
                <c:pt idx="2">
                  <c:v>3.8050017188037119E-2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89-483D-9024-4407BCE7EA3E}"/>
            </c:ext>
          </c:extLst>
        </c:ser>
        <c:ser>
          <c:idx val="9"/>
          <c:order val="9"/>
          <c:tx>
            <c:strRef>
              <c:f>'obj 1 EDA &amp; ANALYSIS'!$Y$15</c:f>
              <c:strCache>
                <c:ptCount val="1"/>
                <c:pt idx="0">
                  <c:v>MISC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1 EDA &amp; ANALYSIS'!$AC$5:$AE$5</c:f>
              <c:strCache>
                <c:ptCount val="3"/>
                <c:pt idx="0">
                  <c:v>% RURAL</c:v>
                </c:pt>
                <c:pt idx="1">
                  <c:v>%URBAN</c:v>
                </c:pt>
                <c:pt idx="2">
                  <c:v>%RURAL+URBAN</c:v>
                </c:pt>
              </c:strCache>
            </c:strRef>
          </c:cat>
          <c:val>
            <c:numRef>
              <c:f>'obj 1 EDA &amp; ANALYSIS'!$AC$15:$AE$15</c:f>
              <c:numCache>
                <c:formatCode>0%</c:formatCode>
                <c:ptCount val="3"/>
                <c:pt idx="0">
                  <c:v>3.9899528763225736E-2</c:v>
                </c:pt>
                <c:pt idx="1">
                  <c:v>3.6975586631903291E-2</c:v>
                </c:pt>
                <c:pt idx="2">
                  <c:v>3.7749226538329315E-2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89-483D-9024-4407BCE7EA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9352128"/>
        <c:axId val="219349728"/>
      </c:barChart>
      <c:catAx>
        <c:axId val="2193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49728"/>
        <c:crosses val="autoZero"/>
        <c:auto val="1"/>
        <c:lblAlgn val="ctr"/>
        <c:lblOffset val="100"/>
        <c:noMultiLvlLbl val="0"/>
      </c:catAx>
      <c:valAx>
        <c:axId val="2193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3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 INFLATION(2017-2022)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'obj 2 EDA &amp;ANALYSIS'!$P$4:$P$9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'obj 2 EDA &amp;ANALYSIS'!$Q$4:$Q$9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C-421C-B9C1-8329E164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128176"/>
        <c:axId val="300133936"/>
      </c:lineChart>
      <c:catAx>
        <c:axId val="30012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33936"/>
        <c:crosses val="autoZero"/>
        <c:auto val="1"/>
        <c:lblAlgn val="ctr"/>
        <c:lblOffset val="100"/>
        <c:noMultiLvlLbl val="0"/>
      </c:catAx>
      <c:valAx>
        <c:axId val="3001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12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'obj 3 EDA&amp;ANALYSIS'!$R$1</c:f>
              <c:strCache>
                <c:ptCount val="1"/>
                <c:pt idx="0">
                  <c:v>M-O-M INFLATION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'obj 3 EDA&amp;ANALYSIS'!$P$2:$P$13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'obj 3 EDA&amp;ANALYSIS'!$R$2:$R$13</c:f>
              <c:numCache>
                <c:formatCode>0.0%</c:formatCode>
                <c:ptCount val="12"/>
                <c:pt idx="0">
                  <c:v>1.0272901871454526E-2</c:v>
                </c:pt>
                <c:pt idx="1">
                  <c:v>1.9452672531942573E-3</c:v>
                </c:pt>
                <c:pt idx="2">
                  <c:v>1.279618761858576E-3</c:v>
                </c:pt>
                <c:pt idx="3">
                  <c:v>5.1560021152828386E-3</c:v>
                </c:pt>
                <c:pt idx="4">
                  <c:v>7.1901442413082953E-3</c:v>
                </c:pt>
                <c:pt idx="5">
                  <c:v>-2.1764680276846731E-4</c:v>
                </c:pt>
                <c:pt idx="6">
                  <c:v>-5.8342041100662182E-3</c:v>
                </c:pt>
                <c:pt idx="7">
                  <c:v>4.0728737847068961E-3</c:v>
                </c:pt>
                <c:pt idx="8">
                  <c:v>-5.9318707201116193E-3</c:v>
                </c:pt>
                <c:pt idx="9">
                  <c:v>4.3876968978943027E-5</c:v>
                </c:pt>
                <c:pt idx="10">
                  <c:v>4.5630045630048032E-3</c:v>
                </c:pt>
                <c:pt idx="11">
                  <c:v>7.5559049615652185E-3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5-4933-8B62-E07902B8B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468832"/>
        <c:axId val="272475552"/>
      </c:areaChart>
      <c:catAx>
        <c:axId val="272468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75552"/>
        <c:crosses val="autoZero"/>
        <c:auto val="1"/>
        <c:lblAlgn val="ctr"/>
        <c:lblOffset val="100"/>
        <c:noMultiLvlLbl val="0"/>
      </c:catAx>
      <c:valAx>
        <c:axId val="27247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68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/>
              <a:t>Y-o-Y INFLATION FOR INDIVIDUAL CATEGORIES</a:t>
            </a:r>
            <a:r>
              <a:rPr lang="en-IN" sz="1100" b="1" baseline="0"/>
              <a:t> UNDER FOOD CATEGORY</a:t>
            </a:r>
            <a:endParaRPr lang="en-IN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'obj 3 EDA&amp;ANALYSIS'!$Y$1:$AM$1</c:f>
              <c:strCache>
                <c:ptCount val="15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General index</c:v>
                </c:pt>
                <c:pt idx="14">
                  <c:v>FOOD CATEGORY</c:v>
                </c:pt>
              </c:strCache>
            </c:strRef>
          </c:cat>
          <c:val>
            <c:numRef>
              <c:f>'obj 3 EDA&amp;ANALYSIS'!$Y$15:$AM$15</c:f>
              <c:numCache>
                <c:formatCode>0.0%</c:formatCode>
                <c:ptCount val="15"/>
                <c:pt idx="0">
                  <c:v>0.1206451612903225</c:v>
                </c:pt>
                <c:pt idx="1">
                  <c:v>-2.3245214220601614E-2</c:v>
                </c:pt>
                <c:pt idx="2">
                  <c:v>1.4051522248243426E-2</c:v>
                </c:pt>
                <c:pt idx="3">
                  <c:v>8.2629674306393175E-2</c:v>
                </c:pt>
                <c:pt idx="4">
                  <c:v>-0.15380786460925835</c:v>
                </c:pt>
                <c:pt idx="5">
                  <c:v>1.4731879787860933E-2</c:v>
                </c:pt>
                <c:pt idx="6">
                  <c:v>-0.11684037301151953</c:v>
                </c:pt>
                <c:pt idx="7">
                  <c:v>6.8776628119293873E-2</c:v>
                </c:pt>
                <c:pt idx="8">
                  <c:v>2.3352793994995805E-2</c:v>
                </c:pt>
                <c:pt idx="9">
                  <c:v>0.16515232495991453</c:v>
                </c:pt>
                <c:pt idx="10">
                  <c:v>3.2757593805836809E-2</c:v>
                </c:pt>
                <c:pt idx="11">
                  <c:v>5.6008700380641561E-2</c:v>
                </c:pt>
                <c:pt idx="12">
                  <c:v>2.4013722126929607E-2</c:v>
                </c:pt>
                <c:pt idx="13">
                  <c:v>3.7659327925840091E-2</c:v>
                </c:pt>
                <c:pt idx="14">
                  <c:v>1.9894778725849948E-2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4-4D66-9144-D88DC2FD1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7272176"/>
        <c:axId val="267266896"/>
      </c:barChart>
      <c:catAx>
        <c:axId val="267272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66896"/>
        <c:crosses val="autoZero"/>
        <c:auto val="1"/>
        <c:lblAlgn val="ctr"/>
        <c:lblOffset val="100"/>
        <c:noMultiLvlLbl val="0"/>
      </c:catAx>
      <c:valAx>
        <c:axId val="26726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27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</a:t>
            </a:r>
            <a:r>
              <a:rPr lang="en-IN" baseline="0"/>
              <a:t> INFLATION PRE &amp; POST COVID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 EDA&amp;ANALYSIS'!$AV$3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'OBJ 4 EDA&amp;ANALYSIS'!$AU$4:$AU$7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'OBJ 4 EDA&amp;ANALYSIS'!$AV$4:$AV$7</c:f>
              <c:numCache>
                <c:formatCode>0.0%</c:formatCode>
                <c:ptCount val="4"/>
                <c:pt idx="0">
                  <c:v>8.4139985107967108E-2</c:v>
                </c:pt>
                <c:pt idx="1">
                  <c:v>3.761969904240766E-2</c:v>
                </c:pt>
                <c:pt idx="2">
                  <c:v>5.9093893630991462E-2</c:v>
                </c:pt>
                <c:pt idx="3">
                  <c:v>6.4935064935064943E-2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4-44ED-9C31-341CF970B876}"/>
            </c:ext>
          </c:extLst>
        </c:ser>
        <c:ser>
          <c:idx val="1"/>
          <c:order val="1"/>
          <c:tx>
            <c:strRef>
              <c:f>'OBJ 4 EDA&amp;ANALYSIS'!$AW$3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'OBJ 4 EDA&amp;ANALYSIS'!$AU$4:$AU$7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'OBJ 4 EDA&amp;ANALYSIS'!$AW$4:$AW$7</c:f>
              <c:numCache>
                <c:formatCode>0.0%</c:formatCode>
                <c:ptCount val="4"/>
                <c:pt idx="0">
                  <c:v>6.2642369020495957E-4</c:v>
                </c:pt>
                <c:pt idx="1">
                  <c:v>8.4349651143002899E-2</c:v>
                </c:pt>
                <c:pt idx="2">
                  <c:v>7.5920649994724115E-2</c:v>
                </c:pt>
                <c:pt idx="3">
                  <c:v>5.9723448072962843E-2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4-44ED-9C31-341CF970B876}"/>
            </c:ext>
          </c:extLst>
        </c:ser>
        <c:ser>
          <c:idx val="2"/>
          <c:order val="2"/>
          <c:tx>
            <c:strRef>
              <c:f>'OBJ 4 EDA&amp;ANALYSIS'!$AX$3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'OBJ 4 EDA&amp;ANALYSIS'!$AU$4:$AU$7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'OBJ 4 EDA&amp;ANALYSIS'!$AX$4:$AX$7</c:f>
              <c:numCache>
                <c:formatCode>0.0%</c:formatCode>
                <c:ptCount val="4"/>
                <c:pt idx="0">
                  <c:v>5.9734513274336244E-2</c:v>
                </c:pt>
                <c:pt idx="1">
                  <c:v>1.8080667593880349E-2</c:v>
                </c:pt>
                <c:pt idx="2">
                  <c:v>3.0737704918032786E-2</c:v>
                </c:pt>
                <c:pt idx="3">
                  <c:v>7.0105820105820255E-2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4-44ED-9C31-341CF970B876}"/>
            </c:ext>
          </c:extLst>
        </c:ser>
        <c:ser>
          <c:idx val="3"/>
          <c:order val="3"/>
          <c:tx>
            <c:strRef>
              <c:f>'OBJ 4 EDA&amp;ANALYSIS'!$AY$3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'OBJ 4 EDA&amp;ANALYSIS'!$AU$4:$AU$7</c:f>
              <c:numCache>
                <c:formatCode>General</c:formatCod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numCache>
            </c:numRef>
          </c:cat>
          <c:val>
            <c:numRef>
              <c:f>'OBJ 4 EDA&amp;ANALYSIS'!$AY$4:$AY$7</c:f>
              <c:numCache>
                <c:formatCode>0.0%</c:formatCode>
                <c:ptCount val="4"/>
                <c:pt idx="0">
                  <c:v>2.3966942148760377E-2</c:v>
                </c:pt>
                <c:pt idx="1">
                  <c:v>4.5746388443017795E-2</c:v>
                </c:pt>
                <c:pt idx="2">
                  <c:v>0.11701308698999222</c:v>
                </c:pt>
                <c:pt idx="3">
                  <c:v>7.3187414500684111E-2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C4-44ED-9C31-341CF970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555392"/>
        <c:axId val="520550592"/>
      </c:barChart>
      <c:catAx>
        <c:axId val="52055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50592"/>
        <c:crosses val="autoZero"/>
        <c:auto val="1"/>
        <c:lblAlgn val="ctr"/>
        <c:lblOffset val="100"/>
        <c:noMultiLvlLbl val="0"/>
      </c:catAx>
      <c:valAx>
        <c:axId val="5205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5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2</xdr:row>
      <xdr:rowOff>7620</xdr:rowOff>
    </xdr:from>
    <xdr:to>
      <xdr:col>11</xdr:col>
      <xdr:colOff>7620</xdr:colOff>
      <xdr:row>17</xdr:row>
      <xdr:rowOff>45719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7E57B9-E6E4-A3F2-A5E2-8A90261A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190500"/>
          <a:ext cx="6080760" cy="2796539"/>
        </a:xfrm>
        <a:prstGeom prst="rect">
          <a:avLst/>
        </a:prstGeom>
      </xdr:spPr>
    </xdr:pic>
    <xdr:clientData/>
  </xdr:twoCellAnchor>
  <xdr:twoCellAnchor>
    <xdr:from>
      <xdr:col>22</xdr:col>
      <xdr:colOff>533400</xdr:colOff>
      <xdr:row>17</xdr:row>
      <xdr:rowOff>11430</xdr:rowOff>
    </xdr:from>
    <xdr:to>
      <xdr:col>27</xdr:col>
      <xdr:colOff>746760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75D37C-E618-F49C-7733-E639A9755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853440</xdr:colOff>
      <xdr:row>17</xdr:row>
      <xdr:rowOff>45720</xdr:rowOff>
    </xdr:from>
    <xdr:to>
      <xdr:col>33</xdr:col>
      <xdr:colOff>579120</xdr:colOff>
      <xdr:row>30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63E426-0720-5F60-2116-11699A23E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228600</xdr:colOff>
      <xdr:row>30</xdr:row>
      <xdr:rowOff>41910</xdr:rowOff>
    </xdr:from>
    <xdr:to>
      <xdr:col>31</xdr:col>
      <xdr:colOff>388620</xdr:colOff>
      <xdr:row>43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ECC79F-7AC8-202A-8BA1-A94FF8995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350520</xdr:colOff>
      <xdr:row>3</xdr:row>
      <xdr:rowOff>137160</xdr:rowOff>
    </xdr:from>
    <xdr:to>
      <xdr:col>42</xdr:col>
      <xdr:colOff>53340</xdr:colOff>
      <xdr:row>19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68C86A-14BD-2D0C-7099-EDDC0CCA6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373380</xdr:colOff>
      <xdr:row>19</xdr:row>
      <xdr:rowOff>95250</xdr:rowOff>
    </xdr:from>
    <xdr:to>
      <xdr:col>42</xdr:col>
      <xdr:colOff>68580</xdr:colOff>
      <xdr:row>42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5882CD-06ED-A48E-6F46-CDFE6CE49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1</xdr:rowOff>
    </xdr:from>
    <xdr:to>
      <xdr:col>11</xdr:col>
      <xdr:colOff>358141</xdr:colOff>
      <xdr:row>9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FF48B-4863-028A-34D4-22F11230F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548641"/>
          <a:ext cx="6454140" cy="1226819"/>
        </a:xfrm>
        <a:prstGeom prst="rect">
          <a:avLst/>
        </a:prstGeom>
      </xdr:spPr>
    </xdr:pic>
    <xdr:clientData/>
  </xdr:twoCellAnchor>
  <xdr:twoCellAnchor>
    <xdr:from>
      <xdr:col>15</xdr:col>
      <xdr:colOff>17284</xdr:colOff>
      <xdr:row>14</xdr:row>
      <xdr:rowOff>57150</xdr:rowOff>
    </xdr:from>
    <xdr:to>
      <xdr:col>24</xdr:col>
      <xdr:colOff>375424</xdr:colOff>
      <xdr:row>31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2CB277-1E49-67C3-A264-981202FC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0.44333</cdr:x>
      <cdr:y>0.32361</cdr:y>
    </cdr:from>
    <cdr:to>
      <cdr:x>0.48</cdr:x>
      <cdr:y>0.4875</cdr:y>
    </cdr:to>
    <cdr:sp macro="" textlink="">
      <cdr:nvSpPr>
        <cdr:cNvPr id="2" name="Arrow: Up 1">
          <a:extLst xmlns:a="http://schemas.openxmlformats.org/drawingml/2006/main">
            <a:ext uri="{FF2B5EF4-FFF2-40B4-BE49-F238E27FC236}">
              <a16:creationId xmlns:a16="http://schemas.microsoft.com/office/drawing/2014/main" id="{B35F839E-1369-5D51-9E2F-8A3990A1ED54}"/>
            </a:ext>
          </a:extLst>
        </cdr:cNvPr>
        <cdr:cNvSpPr/>
      </cdr:nvSpPr>
      <cdr:spPr>
        <a:xfrm xmlns:a="http://schemas.openxmlformats.org/drawingml/2006/main">
          <a:off x="2758342" y="1011357"/>
          <a:ext cx="228133" cy="512189"/>
        </a:xfrm>
        <a:prstGeom xmlns:a="http://schemas.openxmlformats.org/drawingml/2006/main" prst="up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4</xdr:row>
      <xdr:rowOff>1</xdr:rowOff>
    </xdr:from>
    <xdr:to>
      <xdr:col>11</xdr:col>
      <xdr:colOff>236220</xdr:colOff>
      <xdr:row>13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9C2A14-190E-57F8-36CE-EE5D2A28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548641"/>
          <a:ext cx="6652260" cy="1706879"/>
        </a:xfrm>
        <a:prstGeom prst="rect">
          <a:avLst/>
        </a:prstGeom>
      </xdr:spPr>
    </xdr:pic>
    <xdr:clientData/>
  </xdr:twoCellAnchor>
  <xdr:twoCellAnchor>
    <xdr:from>
      <xdr:col>13</xdr:col>
      <xdr:colOff>15240</xdr:colOff>
      <xdr:row>16</xdr:row>
      <xdr:rowOff>3810</xdr:rowOff>
    </xdr:from>
    <xdr:to>
      <xdr:col>18</xdr:col>
      <xdr:colOff>548640</xdr:colOff>
      <xdr:row>30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9B688A-2087-735B-D4C4-8CFF468C3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15</xdr:row>
      <xdr:rowOff>148590</xdr:rowOff>
    </xdr:from>
    <xdr:to>
      <xdr:col>29</xdr:col>
      <xdr:colOff>556260</xdr:colOff>
      <xdr:row>30</xdr:row>
      <xdr:rowOff>148590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FA8C70-0BC3-336D-5F7B-BEF0D82AE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68581</xdr:colOff>
      <xdr:row>3</xdr:row>
      <xdr:rowOff>76201</xdr:rowOff>
    </xdr:from>
    <xdr:to>
      <xdr:col>10</xdr:col>
      <xdr:colOff>220981</xdr:colOff>
      <xdr:row>10</xdr:row>
      <xdr:rowOff>137161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1E452-2064-38CD-6AA1-21517D2B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1" y="441961"/>
          <a:ext cx="6248400" cy="1341120"/>
        </a:xfrm>
        <a:prstGeom prst="rect">
          <a:avLst/>
        </a:prstGeom>
      </xdr:spPr>
    </xdr:pic>
    <xdr:clientData/>
  </xdr:twoCellAnchor>
  <xdr:twoCellAnchor>
    <xdr:from>
      <xdr:col>45</xdr:col>
      <xdr:colOff>30480</xdr:colOff>
      <xdr:row>7</xdr:row>
      <xdr:rowOff>163830</xdr:rowOff>
    </xdr:from>
    <xdr:to>
      <xdr:col>55</xdr:col>
      <xdr:colOff>114300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59809-E6C5-5411-849D-8EF5B97B0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51</xdr:col>
      <xdr:colOff>320040</xdr:colOff>
      <xdr:row>10</xdr:row>
      <xdr:rowOff>83820</xdr:rowOff>
    </xdr:from>
    <xdr:to>
      <xdr:col>54</xdr:col>
      <xdr:colOff>198120</xdr:colOff>
      <xdr:row>11</xdr:row>
      <xdr:rowOff>76200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9492739-B5EB-D598-75F6-498198C6D173}"/>
            </a:ext>
          </a:extLst>
        </xdr:cNvPr>
        <xdr:cNvSpPr/>
      </xdr:nvSpPr>
      <xdr:spPr>
        <a:xfrm>
          <a:off x="31569660" y="1912620"/>
          <a:ext cx="1706880" cy="17526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50</xdr:col>
      <xdr:colOff>289560</xdr:colOff>
      <xdr:row>9</xdr:row>
      <xdr:rowOff>152400</xdr:rowOff>
    </xdr:from>
    <xdr:to>
      <xdr:col>50</xdr:col>
      <xdr:colOff>297180</xdr:colOff>
      <xdr:row>24</xdr:row>
      <xdr:rowOff>7620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89F8517-9F6C-DE0C-9818-E8BA1ECEEF09}"/>
            </a:ext>
          </a:extLst>
        </xdr:cNvPr>
        <xdr:cNvCxnSpPr/>
      </xdr:nvCxnSpPr>
      <xdr:spPr>
        <a:xfrm>
          <a:off x="30769560" y="1798320"/>
          <a:ext cx="7620" cy="259842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47</xdr:col>
      <xdr:colOff>243840</xdr:colOff>
      <xdr:row>9</xdr:row>
      <xdr:rowOff>76200</xdr:rowOff>
    </xdr:from>
    <xdr:ext cx="80592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80B379E-B40E-C4CA-B57E-83E46462E63C}"/>
            </a:ext>
          </a:extLst>
        </xdr:cNvPr>
        <xdr:cNvSpPr txBox="1"/>
      </xdr:nvSpPr>
      <xdr:spPr>
        <a:xfrm>
          <a:off x="28895040" y="1722120"/>
          <a:ext cx="80592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PRE COVID</a:t>
          </a:r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0.16106</cdr:x>
      <cdr:y>0.14219</cdr:y>
    </cdr:from>
    <cdr:to>
      <cdr:x>0.42668</cdr:x>
      <cdr:y>0.20329</cdr:y>
    </cdr:to>
    <cdr:sp macro="" textlink="">
      <cdr:nvSpPr>
        <cdr:cNvPr id="2" name="Arrow: Left 1">
          <a:extLst xmlns:a="http://schemas.openxmlformats.org/drawingml/2006/main">
            <a:ext uri="{FF2B5EF4-FFF2-40B4-BE49-F238E27FC236}">
              <a16:creationId xmlns:a16="http://schemas.microsoft.com/office/drawing/2014/main" id="{F99C2E11-6777-B9B5-05EF-FFE4197FA0A7}"/>
            </a:ext>
          </a:extLst>
        </cdr:cNvPr>
        <cdr:cNvSpPr/>
      </cdr:nvSpPr>
      <cdr:spPr>
        <a:xfrm xmlns:a="http://schemas.openxmlformats.org/drawingml/2006/main">
          <a:off x="1021080" y="461010"/>
          <a:ext cx="1684020" cy="198120"/>
        </a:xfrm>
        <a:prstGeom xmlns:a="http://schemas.openxmlformats.org/drawingml/2006/main" prst="left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0.75361</cdr:x>
      <cdr:y>0.08343</cdr:y>
    </cdr:from>
    <cdr:to>
      <cdr:x>0.89784</cdr:x>
      <cdr:y>0.13984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2503EAC-1747-D16D-9460-D13C1AE5AC4A}"/>
            </a:ext>
          </a:extLst>
        </cdr:cNvPr>
        <cdr:cNvSpPr txBox="1"/>
      </cdr:nvSpPr>
      <cdr:spPr>
        <a:xfrm xmlns:a="http://schemas.openxmlformats.org/drawingml/2006/main">
          <a:off x="4777740" y="270510"/>
          <a:ext cx="914400" cy="1828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POST COVID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5EB9CE-EC1D-4272-B857-A1B17C25D298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101FB-4A18-4E57-8C35-A973982F4563}" name="All_India_Index_Upto_April23__1" displayName="All_India_Index_Upto_April23__1" ref="A1:AD373" tableType="queryTable" totalsRowShown="0">
  <tableColumns count="30">
    <tableColumn id="1" xr3:uid="{65B14405-6EA5-4F83-9DB1-5DC8F4DFFF76}" uniqueName="1" name="Sector" queryTableFieldId="1" dataDxfId="2"/>
    <tableColumn id="2" xr3:uid="{829B6934-CBBE-4120-8336-63E24FCCDACB}" uniqueName="2" name="Year" queryTableFieldId="2"/>
    <tableColumn id="3" xr3:uid="{61DC7180-821D-47FD-A380-49DE3BCF698E}" uniqueName="3" name="Month" queryTableFieldId="3" dataDxfId="1"/>
    <tableColumn id="4" xr3:uid="{92428C73-2E55-412F-9DFA-C113A16CC62F}" uniqueName="4" name="Cereals and products" queryTableFieldId="4"/>
    <tableColumn id="5" xr3:uid="{F4CB690E-52EA-46EC-8CA4-B25348A4A418}" uniqueName="5" name="Meat and fish" queryTableFieldId="5"/>
    <tableColumn id="6" xr3:uid="{CEF9020E-F296-4DF8-8C4E-849275299FB1}" uniqueName="6" name="Egg" queryTableFieldId="6"/>
    <tableColumn id="7" xr3:uid="{92176702-7463-4CE2-87A2-1744648D46D6}" uniqueName="7" name="Milk and products" queryTableFieldId="7"/>
    <tableColumn id="8" xr3:uid="{83F79A1B-5BDA-4686-8DF4-D232B23C17B8}" uniqueName="8" name="Oils and fats" queryTableFieldId="8"/>
    <tableColumn id="9" xr3:uid="{03544747-BEBE-4D38-B9FD-D92A161F4936}" uniqueName="9" name="Fruits" queryTableFieldId="9"/>
    <tableColumn id="10" xr3:uid="{E8706C1B-CA42-4ED5-9F4A-3D73BA03B212}" uniqueName="10" name="Vegetables" queryTableFieldId="10"/>
    <tableColumn id="11" xr3:uid="{8445F967-E9B6-4512-A144-73A291F694DD}" uniqueName="11" name="Pulses and products" queryTableFieldId="11"/>
    <tableColumn id="12" xr3:uid="{ED23F344-5B10-4383-843B-A99AB166E3A6}" uniqueName="12" name="Sugar and Confectionery" queryTableFieldId="12"/>
    <tableColumn id="13" xr3:uid="{07764B7C-0260-45E0-822A-78527F12B95C}" uniqueName="13" name="Spices" queryTableFieldId="13"/>
    <tableColumn id="14" xr3:uid="{7255669A-8696-4E80-AA3F-2B7C9AC8C189}" uniqueName="14" name="Non-alcoholic beverages" queryTableFieldId="14"/>
    <tableColumn id="15" xr3:uid="{FBC58199-9452-40AC-BA72-BCBAC909A8CB}" uniqueName="15" name="Prepared meals, snacks, sweets etc." queryTableFieldId="15"/>
    <tableColumn id="16" xr3:uid="{A0372433-A5CF-450F-9059-5527F619900E}" uniqueName="16" name="Food and beverages" queryTableFieldId="16"/>
    <tableColumn id="17" xr3:uid="{1339106B-34B3-499E-B6CB-CE16EC804A6C}" uniqueName="17" name="Pan, tobacco and intoxicants" queryTableFieldId="17"/>
    <tableColumn id="18" xr3:uid="{47723EBB-EABF-4913-8520-BAE4CFBAA158}" uniqueName="18" name="Clothing" queryTableFieldId="18"/>
    <tableColumn id="19" xr3:uid="{65170EA2-388D-4EC6-9F4C-0A6D61FFDB59}" uniqueName="19" name="Footwear" queryTableFieldId="19"/>
    <tableColumn id="20" xr3:uid="{967D92FB-EC9B-48CA-923E-8E6FCE6E3963}" uniqueName="20" name="Clothing and footwear" queryTableFieldId="20"/>
    <tableColumn id="21" xr3:uid="{8B0090BE-ABC9-46A6-96B2-32C1AFFE788D}" uniqueName="21" name="Housing" queryTableFieldId="21" dataDxfId="0"/>
    <tableColumn id="22" xr3:uid="{4EDBE0B8-86D8-4D09-A201-A126D830E9F1}" uniqueName="22" name="Fuel and light" queryTableFieldId="22"/>
    <tableColumn id="23" xr3:uid="{14E591A5-5778-485C-90AD-478450140893}" uniqueName="23" name="Household goods and services" queryTableFieldId="23"/>
    <tableColumn id="24" xr3:uid="{D08A4FDE-07BE-4682-913B-A8CF1C82D7DF}" uniqueName="24" name="Health" queryTableFieldId="24"/>
    <tableColumn id="25" xr3:uid="{CE99FF85-E964-4445-BC6A-D379778E6233}" uniqueName="25" name="Transport and communication" queryTableFieldId="25"/>
    <tableColumn id="26" xr3:uid="{CF3B93CF-8E99-42A0-862D-16BB52FFFC7F}" uniqueName="26" name="Recreation and amusement" queryTableFieldId="26"/>
    <tableColumn id="27" xr3:uid="{A55A483E-1164-447C-B9E3-129A7A23C317}" uniqueName="27" name="Education" queryTableFieldId="27"/>
    <tableColumn id="28" xr3:uid="{98B6DE9D-4AAD-46E6-8E2E-7E8D1A8016A4}" uniqueName="28" name="Personal care and effects" queryTableFieldId="28"/>
    <tableColumn id="29" xr3:uid="{2E32E2E4-D64C-4D78-A67F-BED972C7796B}" uniqueName="29" name="Miscellaneous" queryTableFieldId="29"/>
    <tableColumn id="30" xr3:uid="{C86796F2-72E7-4FCD-AD66-5128568504BF}" uniqueName="30" name="General index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CA5F-0B01-464D-8280-6776E8BE3348}">
  <dimension ref="A1:AD373"/>
  <sheetViews>
    <sheetView zoomScale="76" workbookViewId="0">
      <selection activeCell="G24" sqref="G24"/>
    </sheetView>
  </sheetViews>
  <sheetFormatPr defaultRowHeight="14.4" x14ac:dyDescent="0.3"/>
  <cols>
    <col min="1" max="1" width="11.21875" bestFit="1" customWidth="1"/>
    <col min="2" max="2" width="6.88671875" bestFit="1" customWidth="1"/>
    <col min="3" max="3" width="10" bestFit="1" customWidth="1"/>
    <col min="4" max="4" width="21" bestFit="1" customWidth="1"/>
    <col min="5" max="5" width="14.77734375" bestFit="1" customWidth="1"/>
    <col min="6" max="6" width="6.21875" bestFit="1" customWidth="1"/>
    <col min="7" max="7" width="18.5546875" bestFit="1" customWidth="1"/>
    <col min="8" max="8" width="13.44140625" bestFit="1" customWidth="1"/>
    <col min="9" max="9" width="7.77734375" bestFit="1" customWidth="1"/>
    <col min="10" max="10" width="12.44140625" bestFit="1" customWidth="1"/>
    <col min="11" max="11" width="20.21875" bestFit="1" customWidth="1"/>
    <col min="12" max="12" width="24.33203125" bestFit="1" customWidth="1"/>
    <col min="13" max="13" width="8.44140625" bestFit="1" customWidth="1"/>
    <col min="14" max="14" width="24.21875" bestFit="1" customWidth="1"/>
    <col min="15" max="15" width="33.5546875" bestFit="1" customWidth="1"/>
    <col min="16" max="16" width="20.33203125" bestFit="1" customWidth="1"/>
    <col min="17" max="17" width="27.88671875" bestFit="1" customWidth="1"/>
    <col min="18" max="18" width="10.21875" bestFit="1" customWidth="1"/>
    <col min="19" max="19" width="11.109375" bestFit="1" customWidth="1"/>
    <col min="20" max="20" width="22.21875" bestFit="1" customWidth="1"/>
    <col min="21" max="21" width="10" bestFit="1" customWidth="1"/>
    <col min="22" max="22" width="14.44140625" bestFit="1" customWidth="1"/>
    <col min="23" max="23" width="28.88671875" bestFit="1" customWidth="1"/>
    <col min="24" max="24" width="8.6640625" bestFit="1" customWidth="1"/>
    <col min="25" max="25" width="29.109375" bestFit="1" customWidth="1"/>
    <col min="26" max="26" width="26.6640625" bestFit="1" customWidth="1"/>
    <col min="27" max="27" width="11.6640625" bestFit="1" customWidth="1"/>
    <col min="28" max="28" width="24.5546875" bestFit="1" customWidth="1"/>
    <col min="29" max="29" width="15.109375" bestFit="1" customWidth="1"/>
    <col min="30" max="30" width="14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x14ac:dyDescent="0.3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x14ac:dyDescent="0.3">
      <c r="A263" t="s">
        <v>30</v>
      </c>
      <c r="B263">
        <v>2020</v>
      </c>
      <c r="C263" t="s">
        <v>41</v>
      </c>
      <c r="U263" t="s">
        <v>32</v>
      </c>
    </row>
    <row r="264" spans="1:30" x14ac:dyDescent="0.3">
      <c r="A264" t="s">
        <v>33</v>
      </c>
      <c r="B264">
        <v>2020</v>
      </c>
      <c r="C264" t="s">
        <v>41</v>
      </c>
      <c r="U264" t="s">
        <v>32</v>
      </c>
    </row>
    <row r="265" spans="1:30" x14ac:dyDescent="0.3">
      <c r="A265" t="s">
        <v>35</v>
      </c>
      <c r="B265">
        <v>2020</v>
      </c>
      <c r="C265" t="s">
        <v>41</v>
      </c>
      <c r="U265" t="s">
        <v>32</v>
      </c>
    </row>
    <row r="266" spans="1:30" x14ac:dyDescent="0.3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sheetProtection algorithmName="SHA-512" hashValue="Rl0GPhsUd6G+/jO33onYy0F+X2u7FqaXzy2TbqB+hN910bFstMA65gGZhHMuV1RPXw8qHqPBvgZV4uUdM/Ufmg==" saltValue="2BzDhlgtFgvVMrUljvFhgA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1EBC-BEDE-4F7C-B9AA-08173811B606}">
  <sheetPr filterMode="1"/>
  <dimension ref="A1:AF375"/>
  <sheetViews>
    <sheetView topLeftCell="J1" workbookViewId="0">
      <selection activeCell="A325" sqref="A325:AE328"/>
    </sheetView>
  </sheetViews>
  <sheetFormatPr defaultRowHeight="14.4" x14ac:dyDescent="0.3"/>
  <cols>
    <col min="30" max="30" width="14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279</v>
      </c>
    </row>
    <row r="2" spans="1:31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  <c r="AE2">
        <f>SUM(D2:P2)</f>
        <v>1371.6999999999998</v>
      </c>
    </row>
    <row r="3" spans="1:31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  <c r="AE3">
        <f t="shared" ref="AE3:AE66" si="0">SUM(D3:P3)</f>
        <v>1376.4</v>
      </c>
    </row>
    <row r="4" spans="1:31" hidden="1" x14ac:dyDescent="0.3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  <c r="AE4">
        <f t="shared" si="0"/>
        <v>1373.3000000000002</v>
      </c>
    </row>
    <row r="5" spans="1:31" hidden="1" x14ac:dyDescent="0.3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  <c r="AE5">
        <f t="shared" si="0"/>
        <v>1380.3999999999999</v>
      </c>
    </row>
    <row r="6" spans="1:31" hidden="1" x14ac:dyDescent="0.3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  <c r="AE6">
        <f t="shared" si="0"/>
        <v>1390.6000000000001</v>
      </c>
    </row>
    <row r="7" spans="1:31" hidden="1" x14ac:dyDescent="0.3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  <c r="AE7">
        <f t="shared" si="0"/>
        <v>1384.2</v>
      </c>
    </row>
    <row r="8" spans="1:31" hidden="1" x14ac:dyDescent="0.3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  <c r="AE8">
        <f t="shared" si="0"/>
        <v>1382.2</v>
      </c>
    </row>
    <row r="9" spans="1:31" hidden="1" x14ac:dyDescent="0.3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  <c r="AE9">
        <f t="shared" si="0"/>
        <v>1386.8</v>
      </c>
    </row>
    <row r="10" spans="1:31" hidden="1" x14ac:dyDescent="0.3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  <c r="AE10">
        <f t="shared" si="0"/>
        <v>1384.0000000000002</v>
      </c>
    </row>
    <row r="11" spans="1:31" hidden="1" x14ac:dyDescent="0.3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  <c r="AE11">
        <f t="shared" si="0"/>
        <v>1385.8</v>
      </c>
    </row>
    <row r="12" spans="1:31" hidden="1" x14ac:dyDescent="0.3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  <c r="AE12">
        <f t="shared" si="0"/>
        <v>1397.6999999999998</v>
      </c>
    </row>
    <row r="13" spans="1:31" hidden="1" x14ac:dyDescent="0.3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E13">
        <f t="shared" si="0"/>
        <v>1390.2</v>
      </c>
    </row>
    <row r="14" spans="1:31" hidden="1" x14ac:dyDescent="0.3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  <c r="AE14">
        <f t="shared" si="0"/>
        <v>1394</v>
      </c>
    </row>
    <row r="15" spans="1:31" hidden="1" x14ac:dyDescent="0.3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E15">
        <f t="shared" si="0"/>
        <v>1417.1999999999998</v>
      </c>
    </row>
    <row r="16" spans="1:31" hidden="1" x14ac:dyDescent="0.3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  <c r="AE16">
        <f t="shared" si="0"/>
        <v>1402.1999999999998</v>
      </c>
    </row>
    <row r="17" spans="1:31" hidden="1" x14ac:dyDescent="0.3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  <c r="AE17">
        <f t="shared" si="0"/>
        <v>1420</v>
      </c>
    </row>
    <row r="18" spans="1:31" hidden="1" x14ac:dyDescent="0.3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  <c r="AE18">
        <f t="shared" si="0"/>
        <v>1464.6000000000001</v>
      </c>
    </row>
    <row r="19" spans="1:31" hidden="1" x14ac:dyDescent="0.3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  <c r="AE19">
        <f t="shared" si="0"/>
        <v>1436</v>
      </c>
    </row>
    <row r="20" spans="1:31" hidden="1" x14ac:dyDescent="0.3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  <c r="AE20">
        <f t="shared" si="0"/>
        <v>1445.8999999999996</v>
      </c>
    </row>
    <row r="21" spans="1:31" hidden="1" x14ac:dyDescent="0.3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  <c r="AE21">
        <f t="shared" si="0"/>
        <v>1489.4</v>
      </c>
    </row>
    <row r="22" spans="1:31" hidden="1" x14ac:dyDescent="0.3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  <c r="AE22">
        <f t="shared" si="0"/>
        <v>1461.3999999999999</v>
      </c>
    </row>
    <row r="23" spans="1:31" hidden="1" x14ac:dyDescent="0.3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  <c r="AE23">
        <f t="shared" si="0"/>
        <v>1462.5</v>
      </c>
    </row>
    <row r="24" spans="1:31" hidden="1" x14ac:dyDescent="0.3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  <c r="AE24">
        <f t="shared" si="0"/>
        <v>1506.1000000000001</v>
      </c>
    </row>
    <row r="25" spans="1:31" hidden="1" x14ac:dyDescent="0.3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  <c r="AE25">
        <f t="shared" si="0"/>
        <v>1477.4</v>
      </c>
    </row>
    <row r="26" spans="1:31" hidden="1" x14ac:dyDescent="0.3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  <c r="AE26">
        <f t="shared" si="0"/>
        <v>1488.5000000000002</v>
      </c>
    </row>
    <row r="27" spans="1:31" hidden="1" x14ac:dyDescent="0.3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  <c r="AE27">
        <f t="shared" si="0"/>
        <v>1500.4</v>
      </c>
    </row>
    <row r="28" spans="1:31" hidden="1" x14ac:dyDescent="0.3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  <c r="AE28">
        <f t="shared" si="0"/>
        <v>1491.6999999999998</v>
      </c>
    </row>
    <row r="29" spans="1:31" hidden="1" x14ac:dyDescent="0.3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  <c r="AE29">
        <f t="shared" si="0"/>
        <v>1508</v>
      </c>
    </row>
    <row r="30" spans="1:31" hidden="1" x14ac:dyDescent="0.3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  <c r="AE30">
        <f t="shared" si="0"/>
        <v>1517.1999999999998</v>
      </c>
    </row>
    <row r="31" spans="1:31" hidden="1" x14ac:dyDescent="0.3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  <c r="AE31">
        <f t="shared" si="0"/>
        <v>1510.2000000000003</v>
      </c>
    </row>
    <row r="32" spans="1:31" hidden="1" x14ac:dyDescent="0.3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  <c r="AE32">
        <f t="shared" si="0"/>
        <v>1536.8</v>
      </c>
    </row>
    <row r="33" spans="1:31" hidden="1" x14ac:dyDescent="0.3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  <c r="AE33">
        <f t="shared" si="0"/>
        <v>1544.6</v>
      </c>
    </row>
    <row r="34" spans="1:31" hidden="1" x14ac:dyDescent="0.3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  <c r="AE34">
        <f t="shared" si="0"/>
        <v>1538.8</v>
      </c>
    </row>
    <row r="35" spans="1:31" hidden="1" x14ac:dyDescent="0.3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  <c r="AE35">
        <f t="shared" si="0"/>
        <v>1509</v>
      </c>
    </row>
    <row r="36" spans="1:31" hidden="1" x14ac:dyDescent="0.3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  <c r="AE36">
        <f t="shared" si="0"/>
        <v>1504.4</v>
      </c>
    </row>
    <row r="37" spans="1:31" hidden="1" x14ac:dyDescent="0.3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  <c r="AE37">
        <f t="shared" si="0"/>
        <v>1507.3000000000002</v>
      </c>
    </row>
    <row r="38" spans="1:31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  <c r="AE38">
        <f t="shared" si="0"/>
        <v>1486.6000000000001</v>
      </c>
    </row>
    <row r="39" spans="1:31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  <c r="AE39">
        <f t="shared" si="0"/>
        <v>1484.3</v>
      </c>
    </row>
    <row r="40" spans="1:31" hidden="1" x14ac:dyDescent="0.3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  <c r="AE40">
        <f t="shared" si="0"/>
        <v>1485.7999999999997</v>
      </c>
    </row>
    <row r="41" spans="1:31" hidden="1" x14ac:dyDescent="0.3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  <c r="AE41">
        <f t="shared" si="0"/>
        <v>1482.2</v>
      </c>
    </row>
    <row r="42" spans="1:31" hidden="1" x14ac:dyDescent="0.3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  <c r="AE42">
        <f t="shared" si="0"/>
        <v>1476</v>
      </c>
    </row>
    <row r="43" spans="1:31" hidden="1" x14ac:dyDescent="0.3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  <c r="AE43">
        <f t="shared" si="0"/>
        <v>1480.1</v>
      </c>
    </row>
    <row r="44" spans="1:31" hidden="1" x14ac:dyDescent="0.3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  <c r="AE44">
        <f t="shared" si="0"/>
        <v>1491.4</v>
      </c>
    </row>
    <row r="45" spans="1:31" hidden="1" x14ac:dyDescent="0.3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  <c r="AE45">
        <f t="shared" si="0"/>
        <v>1483</v>
      </c>
    </row>
    <row r="46" spans="1:31" hidden="1" x14ac:dyDescent="0.3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  <c r="AE46">
        <f t="shared" si="0"/>
        <v>1488.2999999999997</v>
      </c>
    </row>
    <row r="47" spans="1:31" hidden="1" x14ac:dyDescent="0.3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  <c r="AE47">
        <f t="shared" si="0"/>
        <v>1504.1000000000001</v>
      </c>
    </row>
    <row r="48" spans="1:31" hidden="1" x14ac:dyDescent="0.3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  <c r="AE48">
        <f t="shared" si="0"/>
        <v>1504.0000000000002</v>
      </c>
    </row>
    <row r="49" spans="1:31" hidden="1" x14ac:dyDescent="0.3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  <c r="AE49">
        <f t="shared" si="0"/>
        <v>1504.1</v>
      </c>
    </row>
    <row r="50" spans="1:31" hidden="1" x14ac:dyDescent="0.3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  <c r="AE50">
        <f t="shared" si="0"/>
        <v>1513.8999999999999</v>
      </c>
    </row>
    <row r="51" spans="1:31" hidden="1" x14ac:dyDescent="0.3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  <c r="AE51">
        <f t="shared" si="0"/>
        <v>1525.3000000000002</v>
      </c>
    </row>
    <row r="52" spans="1:31" hidden="1" x14ac:dyDescent="0.3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  <c r="AE52">
        <f t="shared" si="0"/>
        <v>1518.5000000000005</v>
      </c>
    </row>
    <row r="53" spans="1:31" hidden="1" x14ac:dyDescent="0.3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  <c r="AE53">
        <f t="shared" si="0"/>
        <v>1525.6999999999998</v>
      </c>
    </row>
    <row r="54" spans="1:31" hidden="1" x14ac:dyDescent="0.3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  <c r="AE54">
        <f t="shared" si="0"/>
        <v>1547</v>
      </c>
    </row>
    <row r="55" spans="1:31" hidden="1" x14ac:dyDescent="0.3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  <c r="AE55">
        <f t="shared" si="0"/>
        <v>1533.7000000000003</v>
      </c>
    </row>
    <row r="56" spans="1:31" hidden="1" x14ac:dyDescent="0.3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  <c r="AE56">
        <f t="shared" si="0"/>
        <v>1563.2</v>
      </c>
    </row>
    <row r="57" spans="1:31" hidden="1" x14ac:dyDescent="0.3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  <c r="AE57">
        <f t="shared" si="0"/>
        <v>1599.5</v>
      </c>
    </row>
    <row r="58" spans="1:31" hidden="1" x14ac:dyDescent="0.3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  <c r="AE58">
        <f t="shared" si="0"/>
        <v>1576.3</v>
      </c>
    </row>
    <row r="59" spans="1:31" hidden="1" x14ac:dyDescent="0.3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  <c r="AE59">
        <f t="shared" si="0"/>
        <v>1582.2999999999997</v>
      </c>
    </row>
    <row r="60" spans="1:31" hidden="1" x14ac:dyDescent="0.3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  <c r="AE60">
        <f t="shared" si="0"/>
        <v>1617</v>
      </c>
    </row>
    <row r="61" spans="1:31" hidden="1" x14ac:dyDescent="0.3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  <c r="AE61">
        <f t="shared" si="0"/>
        <v>1594.4999999999998</v>
      </c>
    </row>
    <row r="62" spans="1:31" hidden="1" x14ac:dyDescent="0.3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  <c r="AE62">
        <f t="shared" si="0"/>
        <v>1583.2</v>
      </c>
    </row>
    <row r="63" spans="1:31" hidden="1" x14ac:dyDescent="0.3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  <c r="AE63">
        <f t="shared" si="0"/>
        <v>1593.7000000000003</v>
      </c>
    </row>
    <row r="64" spans="1:31" hidden="1" x14ac:dyDescent="0.3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  <c r="AE64">
        <f t="shared" si="0"/>
        <v>1586.0999999999997</v>
      </c>
    </row>
    <row r="65" spans="1:31" hidden="1" x14ac:dyDescent="0.3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  <c r="AE65">
        <f t="shared" si="0"/>
        <v>1581.1999999999998</v>
      </c>
    </row>
    <row r="66" spans="1:31" hidden="1" x14ac:dyDescent="0.3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  <c r="AE66">
        <f t="shared" si="0"/>
        <v>1587.5</v>
      </c>
    </row>
    <row r="67" spans="1:31" hidden="1" x14ac:dyDescent="0.3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  <c r="AE67">
        <f t="shared" ref="AE67:AE130" si="1">SUM(D67:P67)</f>
        <v>1582.7</v>
      </c>
    </row>
    <row r="68" spans="1:31" hidden="1" x14ac:dyDescent="0.3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  <c r="AE68">
        <f t="shared" si="1"/>
        <v>1582</v>
      </c>
    </row>
    <row r="69" spans="1:31" hidden="1" x14ac:dyDescent="0.3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  <c r="AE69">
        <f t="shared" si="1"/>
        <v>1587.8</v>
      </c>
    </row>
    <row r="70" spans="1:31" hidden="1" x14ac:dyDescent="0.3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  <c r="AE70">
        <f t="shared" si="1"/>
        <v>1583.2</v>
      </c>
    </row>
    <row r="71" spans="1:31" hidden="1" x14ac:dyDescent="0.3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  <c r="AE71">
        <f t="shared" si="1"/>
        <v>1569.6</v>
      </c>
    </row>
    <row r="72" spans="1:31" hidden="1" x14ac:dyDescent="0.3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  <c r="AE72">
        <f t="shared" si="1"/>
        <v>1577.1999999999998</v>
      </c>
    </row>
    <row r="73" spans="1:31" hidden="1" x14ac:dyDescent="0.3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  <c r="AE73">
        <f t="shared" si="1"/>
        <v>1571.6999999999998</v>
      </c>
    </row>
    <row r="74" spans="1:31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  <c r="AE74">
        <f t="shared" si="1"/>
        <v>1568.1</v>
      </c>
    </row>
    <row r="75" spans="1:31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  <c r="AE75">
        <f t="shared" si="1"/>
        <v>1574.8999999999999</v>
      </c>
    </row>
    <row r="76" spans="1:31" hidden="1" x14ac:dyDescent="0.3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  <c r="AE76">
        <f t="shared" si="1"/>
        <v>1569.3</v>
      </c>
    </row>
    <row r="77" spans="1:31" hidden="1" x14ac:dyDescent="0.3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  <c r="AE77">
        <f t="shared" si="1"/>
        <v>1570.5999999999997</v>
      </c>
    </row>
    <row r="78" spans="1:31" hidden="1" x14ac:dyDescent="0.3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  <c r="AE78">
        <f t="shared" si="1"/>
        <v>1571.1000000000001</v>
      </c>
    </row>
    <row r="79" spans="1:31" hidden="1" x14ac:dyDescent="0.3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  <c r="AE79">
        <f t="shared" si="1"/>
        <v>1569.3999999999996</v>
      </c>
    </row>
    <row r="80" spans="1:31" hidden="1" x14ac:dyDescent="0.3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  <c r="AE80">
        <f t="shared" si="1"/>
        <v>1571.5</v>
      </c>
    </row>
    <row r="81" spans="1:31" hidden="1" x14ac:dyDescent="0.3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  <c r="AE81">
        <f t="shared" si="1"/>
        <v>1568.0000000000002</v>
      </c>
    </row>
    <row r="82" spans="1:31" hidden="1" x14ac:dyDescent="0.3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  <c r="AE82">
        <f t="shared" si="1"/>
        <v>1569.1</v>
      </c>
    </row>
    <row r="83" spans="1:31" hidden="1" x14ac:dyDescent="0.3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  <c r="AE83">
        <f t="shared" si="1"/>
        <v>1577.2</v>
      </c>
    </row>
    <row r="84" spans="1:31" hidden="1" x14ac:dyDescent="0.3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  <c r="AE84">
        <f t="shared" si="1"/>
        <v>1576.1</v>
      </c>
    </row>
    <row r="85" spans="1:31" hidden="1" x14ac:dyDescent="0.3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  <c r="AE85">
        <f t="shared" si="1"/>
        <v>1575.7</v>
      </c>
    </row>
    <row r="86" spans="1:31" hidden="1" x14ac:dyDescent="0.3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  <c r="AE86">
        <f t="shared" si="1"/>
        <v>1587.7</v>
      </c>
    </row>
    <row r="87" spans="1:31" hidden="1" x14ac:dyDescent="0.3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  <c r="AE87">
        <f t="shared" si="1"/>
        <v>1598.9</v>
      </c>
    </row>
    <row r="88" spans="1:31" hidden="1" x14ac:dyDescent="0.3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  <c r="AE88">
        <f t="shared" si="1"/>
        <v>1590.4</v>
      </c>
    </row>
    <row r="89" spans="1:31" hidden="1" x14ac:dyDescent="0.3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  <c r="AE89">
        <f t="shared" si="1"/>
        <v>1617.8999999999999</v>
      </c>
    </row>
    <row r="90" spans="1:31" hidden="1" x14ac:dyDescent="0.3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  <c r="AE90">
        <f t="shared" si="1"/>
        <v>1636.6</v>
      </c>
    </row>
    <row r="91" spans="1:31" hidden="1" x14ac:dyDescent="0.3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  <c r="AE91">
        <f t="shared" si="1"/>
        <v>1623.5</v>
      </c>
    </row>
    <row r="92" spans="1:31" hidden="1" x14ac:dyDescent="0.3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  <c r="AE92">
        <f t="shared" si="1"/>
        <v>1625.3</v>
      </c>
    </row>
    <row r="93" spans="1:31" hidden="1" x14ac:dyDescent="0.3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  <c r="AE93">
        <f t="shared" si="1"/>
        <v>1642.8999999999999</v>
      </c>
    </row>
    <row r="94" spans="1:31" hidden="1" x14ac:dyDescent="0.3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  <c r="AE94">
        <f t="shared" si="1"/>
        <v>1630.6000000000001</v>
      </c>
    </row>
    <row r="95" spans="1:31" hidden="1" x14ac:dyDescent="0.3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  <c r="AE95">
        <f t="shared" si="1"/>
        <v>1646.6</v>
      </c>
    </row>
    <row r="96" spans="1:31" hidden="1" x14ac:dyDescent="0.3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  <c r="AE96">
        <f t="shared" si="1"/>
        <v>1658.8999999999999</v>
      </c>
    </row>
    <row r="97" spans="1:31" hidden="1" x14ac:dyDescent="0.3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  <c r="AE97">
        <f t="shared" si="1"/>
        <v>1649.6</v>
      </c>
    </row>
    <row r="98" spans="1:31" hidden="1" x14ac:dyDescent="0.3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  <c r="AE98">
        <f t="shared" si="1"/>
        <v>1657.6000000000001</v>
      </c>
    </row>
    <row r="99" spans="1:31" hidden="1" x14ac:dyDescent="0.3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  <c r="AE99">
        <f t="shared" si="1"/>
        <v>1664.8</v>
      </c>
    </row>
    <row r="100" spans="1:31" hidden="1" x14ac:dyDescent="0.3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  <c r="AE100">
        <f t="shared" si="1"/>
        <v>1658.3000000000002</v>
      </c>
    </row>
    <row r="101" spans="1:31" hidden="1" x14ac:dyDescent="0.3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  <c r="AE101">
        <f t="shared" si="1"/>
        <v>1674.6</v>
      </c>
    </row>
    <row r="102" spans="1:31" hidden="1" x14ac:dyDescent="0.3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  <c r="AE102">
        <f t="shared" si="1"/>
        <v>1692.8000000000002</v>
      </c>
    </row>
    <row r="103" spans="1:31" hidden="1" x14ac:dyDescent="0.3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  <c r="AE103">
        <f t="shared" si="1"/>
        <v>1678.9999999999998</v>
      </c>
    </row>
    <row r="104" spans="1:31" hidden="1" x14ac:dyDescent="0.3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  <c r="AE104">
        <f t="shared" si="1"/>
        <v>1686.3</v>
      </c>
    </row>
    <row r="105" spans="1:31" hidden="1" x14ac:dyDescent="0.3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  <c r="AE105">
        <f t="shared" si="1"/>
        <v>1708.4999999999998</v>
      </c>
    </row>
    <row r="106" spans="1:31" hidden="1" x14ac:dyDescent="0.3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  <c r="AE106">
        <f t="shared" si="1"/>
        <v>1692.1</v>
      </c>
    </row>
    <row r="107" spans="1:31" hidden="1" x14ac:dyDescent="0.3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  <c r="AE107">
        <f t="shared" si="1"/>
        <v>1682.3000000000002</v>
      </c>
    </row>
    <row r="108" spans="1:31" hidden="1" x14ac:dyDescent="0.3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  <c r="AE108">
        <f t="shared" si="1"/>
        <v>1698.8</v>
      </c>
    </row>
    <row r="109" spans="1:31" hidden="1" x14ac:dyDescent="0.3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  <c r="AE109">
        <f t="shared" si="1"/>
        <v>1686.1000000000001</v>
      </c>
    </row>
    <row r="110" spans="1:31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  <c r="AE110">
        <f t="shared" si="1"/>
        <v>1690.1000000000001</v>
      </c>
    </row>
    <row r="111" spans="1:31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  <c r="AE111">
        <f t="shared" si="1"/>
        <v>1701.4</v>
      </c>
    </row>
    <row r="112" spans="1:31" hidden="1" x14ac:dyDescent="0.3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  <c r="AE112">
        <f t="shared" si="1"/>
        <v>1691.7</v>
      </c>
    </row>
    <row r="113" spans="1:31" hidden="1" x14ac:dyDescent="0.3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  <c r="AE113">
        <f t="shared" si="1"/>
        <v>1682.6</v>
      </c>
    </row>
    <row r="114" spans="1:31" hidden="1" x14ac:dyDescent="0.3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  <c r="AE114">
        <f t="shared" si="1"/>
        <v>1676.1</v>
      </c>
    </row>
    <row r="115" spans="1:31" hidden="1" x14ac:dyDescent="0.3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  <c r="AE115">
        <f t="shared" si="1"/>
        <v>1678.1</v>
      </c>
    </row>
    <row r="116" spans="1:31" hidden="1" x14ac:dyDescent="0.3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  <c r="AE116">
        <f t="shared" si="1"/>
        <v>1682.7000000000003</v>
      </c>
    </row>
    <row r="117" spans="1:31" hidden="1" x14ac:dyDescent="0.3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  <c r="AE117">
        <f t="shared" si="1"/>
        <v>1667.6000000000001</v>
      </c>
    </row>
    <row r="118" spans="1:31" hidden="1" x14ac:dyDescent="0.3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  <c r="AE118">
        <f t="shared" si="1"/>
        <v>1675.2</v>
      </c>
    </row>
    <row r="119" spans="1:31" hidden="1" x14ac:dyDescent="0.3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  <c r="AE119">
        <f t="shared" si="1"/>
        <v>1701.6000000000004</v>
      </c>
    </row>
    <row r="120" spans="1:31" hidden="1" x14ac:dyDescent="0.3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  <c r="AE120">
        <f t="shared" si="1"/>
        <v>1706.3</v>
      </c>
    </row>
    <row r="121" spans="1:31" hidden="1" x14ac:dyDescent="0.3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  <c r="AE121">
        <f t="shared" si="1"/>
        <v>1701.3</v>
      </c>
    </row>
    <row r="122" spans="1:31" hidden="1" x14ac:dyDescent="0.3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  <c r="AE122">
        <f t="shared" si="1"/>
        <v>1723.6999999999998</v>
      </c>
    </row>
    <row r="123" spans="1:31" hidden="1" x14ac:dyDescent="0.3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  <c r="AE123">
        <f t="shared" si="1"/>
        <v>1746.7999999999997</v>
      </c>
    </row>
    <row r="124" spans="1:31" hidden="1" x14ac:dyDescent="0.3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  <c r="AE124">
        <f t="shared" si="1"/>
        <v>1730.4</v>
      </c>
    </row>
    <row r="125" spans="1:31" hidden="1" x14ac:dyDescent="0.3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  <c r="AE125">
        <f t="shared" si="1"/>
        <v>1748.6</v>
      </c>
    </row>
    <row r="126" spans="1:31" hidden="1" x14ac:dyDescent="0.3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  <c r="AE126">
        <f t="shared" si="1"/>
        <v>1787.0000000000002</v>
      </c>
    </row>
    <row r="127" spans="1:31" hidden="1" x14ac:dyDescent="0.3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  <c r="AE127">
        <f t="shared" si="1"/>
        <v>1760.6</v>
      </c>
    </row>
    <row r="128" spans="1:31" hidden="1" x14ac:dyDescent="0.3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  <c r="AE128">
        <f t="shared" si="1"/>
        <v>1770.2999999999997</v>
      </c>
    </row>
    <row r="129" spans="1:31" hidden="1" x14ac:dyDescent="0.3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  <c r="AE129">
        <f t="shared" si="1"/>
        <v>1811.5000000000002</v>
      </c>
    </row>
    <row r="130" spans="1:31" hidden="1" x14ac:dyDescent="0.3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  <c r="AE130">
        <f t="shared" si="1"/>
        <v>1783.5</v>
      </c>
    </row>
    <row r="131" spans="1:31" hidden="1" x14ac:dyDescent="0.3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  <c r="AE131">
        <f t="shared" ref="AE131:AE194" si="2">SUM(D131:P131)</f>
        <v>1777.4999999999998</v>
      </c>
    </row>
    <row r="132" spans="1:31" hidden="1" x14ac:dyDescent="0.3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  <c r="AE132">
        <f t="shared" si="2"/>
        <v>1783.9999999999995</v>
      </c>
    </row>
    <row r="133" spans="1:31" hidden="1" x14ac:dyDescent="0.3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  <c r="AE133">
        <f t="shared" si="2"/>
        <v>1777.9</v>
      </c>
    </row>
    <row r="134" spans="1:31" hidden="1" x14ac:dyDescent="0.3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  <c r="AE134">
        <f t="shared" si="2"/>
        <v>1770.7</v>
      </c>
    </row>
    <row r="135" spans="1:31" hidden="1" x14ac:dyDescent="0.3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  <c r="AE135">
        <f t="shared" si="2"/>
        <v>1756.3999999999996</v>
      </c>
    </row>
    <row r="136" spans="1:31" hidden="1" x14ac:dyDescent="0.3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  <c r="AE136">
        <f t="shared" si="2"/>
        <v>1763.6999999999998</v>
      </c>
    </row>
    <row r="137" spans="1:31" hidden="1" x14ac:dyDescent="0.3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  <c r="AE137">
        <f t="shared" si="2"/>
        <v>1771.8000000000002</v>
      </c>
    </row>
    <row r="138" spans="1:31" hidden="1" x14ac:dyDescent="0.3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  <c r="AE138">
        <f t="shared" si="2"/>
        <v>1762.8999999999999</v>
      </c>
    </row>
    <row r="139" spans="1:31" hidden="1" x14ac:dyDescent="0.3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  <c r="AE139">
        <f t="shared" si="2"/>
        <v>1766.7999999999995</v>
      </c>
    </row>
    <row r="140" spans="1:31" hidden="1" x14ac:dyDescent="0.3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  <c r="AE140">
        <f t="shared" si="2"/>
        <v>1764.6</v>
      </c>
    </row>
    <row r="141" spans="1:31" hidden="1" x14ac:dyDescent="0.3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  <c r="AE141">
        <f t="shared" si="2"/>
        <v>1755.2</v>
      </c>
    </row>
    <row r="142" spans="1:31" hidden="1" x14ac:dyDescent="0.3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  <c r="AE142">
        <f t="shared" si="2"/>
        <v>1759.8</v>
      </c>
    </row>
    <row r="143" spans="1:31" hidden="1" x14ac:dyDescent="0.3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  <c r="AE143">
        <f t="shared" si="2"/>
        <v>1749.1</v>
      </c>
    </row>
    <row r="144" spans="1:31" hidden="1" x14ac:dyDescent="0.3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  <c r="AE144">
        <f t="shared" si="2"/>
        <v>1729.8</v>
      </c>
    </row>
    <row r="145" spans="1:31" hidden="1" x14ac:dyDescent="0.3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  <c r="AE145">
        <f t="shared" si="2"/>
        <v>1740.7</v>
      </c>
    </row>
    <row r="146" spans="1:31" hidden="1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  <c r="AE146">
        <f t="shared" si="2"/>
        <v>1737.3000000000002</v>
      </c>
    </row>
    <row r="147" spans="1:31" hidden="1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  <c r="AE147">
        <f t="shared" si="2"/>
        <v>1713.2</v>
      </c>
    </row>
    <row r="148" spans="1:31" hidden="1" x14ac:dyDescent="0.3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  <c r="AE148">
        <f t="shared" si="2"/>
        <v>1727.2999999999995</v>
      </c>
    </row>
    <row r="149" spans="1:31" hidden="1" x14ac:dyDescent="0.3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  <c r="AE149">
        <f t="shared" si="2"/>
        <v>1734.5000000000002</v>
      </c>
    </row>
    <row r="150" spans="1:31" hidden="1" x14ac:dyDescent="0.3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  <c r="AE150">
        <f t="shared" si="2"/>
        <v>1705.3000000000002</v>
      </c>
    </row>
    <row r="151" spans="1:31" hidden="1" x14ac:dyDescent="0.3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  <c r="AE151">
        <f t="shared" si="2"/>
        <v>1722.3000000000002</v>
      </c>
    </row>
    <row r="152" spans="1:31" hidden="1" x14ac:dyDescent="0.3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  <c r="AE152">
        <f t="shared" si="2"/>
        <v>1728.5000000000002</v>
      </c>
    </row>
    <row r="153" spans="1:31" hidden="1" x14ac:dyDescent="0.3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  <c r="AE153">
        <f t="shared" si="2"/>
        <v>1705.6999999999998</v>
      </c>
    </row>
    <row r="154" spans="1:31" hidden="1" x14ac:dyDescent="0.3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  <c r="AE154">
        <f t="shared" si="2"/>
        <v>1718.9</v>
      </c>
    </row>
    <row r="155" spans="1:31" hidden="1" x14ac:dyDescent="0.3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  <c r="AE155">
        <f t="shared" si="2"/>
        <v>1726.3</v>
      </c>
    </row>
    <row r="156" spans="1:31" hidden="1" x14ac:dyDescent="0.3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  <c r="AE156">
        <f t="shared" si="2"/>
        <v>1708.1</v>
      </c>
    </row>
    <row r="157" spans="1:31" hidden="1" x14ac:dyDescent="0.3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  <c r="AE157">
        <f t="shared" si="2"/>
        <v>1718.4</v>
      </c>
    </row>
    <row r="158" spans="1:31" hidden="1" x14ac:dyDescent="0.3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  <c r="AE158">
        <f t="shared" si="2"/>
        <v>1727.4999999999995</v>
      </c>
    </row>
    <row r="159" spans="1:31" hidden="1" x14ac:dyDescent="0.3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  <c r="AE159">
        <f t="shared" si="2"/>
        <v>1709.6</v>
      </c>
    </row>
    <row r="160" spans="1:31" hidden="1" x14ac:dyDescent="0.3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  <c r="AE160">
        <f t="shared" si="2"/>
        <v>1719.6000000000001</v>
      </c>
    </row>
    <row r="161" spans="1:31" hidden="1" x14ac:dyDescent="0.3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  <c r="AE161">
        <f t="shared" si="2"/>
        <v>1738.8000000000002</v>
      </c>
    </row>
    <row r="162" spans="1:31" hidden="1" x14ac:dyDescent="0.3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  <c r="AE162">
        <f t="shared" si="2"/>
        <v>1731.0000000000002</v>
      </c>
    </row>
    <row r="163" spans="1:31" hidden="1" x14ac:dyDescent="0.3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  <c r="AE163">
        <f t="shared" si="2"/>
        <v>1734.7</v>
      </c>
    </row>
    <row r="164" spans="1:31" hidden="1" x14ac:dyDescent="0.3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  <c r="AE164">
        <f t="shared" si="2"/>
        <v>1772.9</v>
      </c>
    </row>
    <row r="165" spans="1:31" hidden="1" x14ac:dyDescent="0.3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  <c r="AE165">
        <f t="shared" si="2"/>
        <v>1768.1</v>
      </c>
    </row>
    <row r="166" spans="1:31" hidden="1" x14ac:dyDescent="0.3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  <c r="AE166">
        <f t="shared" si="2"/>
        <v>1769.3999999999999</v>
      </c>
    </row>
    <row r="167" spans="1:31" hidden="1" x14ac:dyDescent="0.3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  <c r="AE167">
        <f t="shared" si="2"/>
        <v>1792.4999999999998</v>
      </c>
    </row>
    <row r="168" spans="1:31" hidden="1" x14ac:dyDescent="0.3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  <c r="AE168">
        <f t="shared" si="2"/>
        <v>1772.9999999999998</v>
      </c>
    </row>
    <row r="169" spans="1:31" hidden="1" x14ac:dyDescent="0.3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  <c r="AE169">
        <f t="shared" si="2"/>
        <v>1783.8</v>
      </c>
    </row>
    <row r="170" spans="1:31" hidden="1" x14ac:dyDescent="0.3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  <c r="AE170">
        <f t="shared" si="2"/>
        <v>1784.3</v>
      </c>
    </row>
    <row r="171" spans="1:31" hidden="1" x14ac:dyDescent="0.3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  <c r="AE171">
        <f t="shared" si="2"/>
        <v>1749.7</v>
      </c>
    </row>
    <row r="172" spans="1:31" hidden="1" x14ac:dyDescent="0.3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  <c r="AE172">
        <f t="shared" si="2"/>
        <v>1769.9999999999998</v>
      </c>
    </row>
    <row r="173" spans="1:31" hidden="1" x14ac:dyDescent="0.3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  <c r="AE173">
        <f t="shared" si="2"/>
        <v>1790.8999999999999</v>
      </c>
    </row>
    <row r="174" spans="1:31" hidden="1" x14ac:dyDescent="0.3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  <c r="AE174">
        <f t="shared" si="2"/>
        <v>1765.6999999999998</v>
      </c>
    </row>
    <row r="175" spans="1:31" hidden="1" x14ac:dyDescent="0.3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  <c r="AE175">
        <f t="shared" si="2"/>
        <v>1779.6999999999998</v>
      </c>
    </row>
    <row r="176" spans="1:31" hidden="1" x14ac:dyDescent="0.3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  <c r="AE176">
        <f t="shared" si="2"/>
        <v>1817.7000000000003</v>
      </c>
    </row>
    <row r="177" spans="1:31" hidden="1" x14ac:dyDescent="0.3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  <c r="AE177">
        <f t="shared" si="2"/>
        <v>1796.7</v>
      </c>
    </row>
    <row r="178" spans="1:31" hidden="1" x14ac:dyDescent="0.3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  <c r="AE178">
        <f t="shared" si="2"/>
        <v>1808.2</v>
      </c>
    </row>
    <row r="179" spans="1:31" hidden="1" x14ac:dyDescent="0.3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  <c r="AE179">
        <f t="shared" si="2"/>
        <v>1813.6000000000001</v>
      </c>
    </row>
    <row r="180" spans="1:31" hidden="1" x14ac:dyDescent="0.3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  <c r="AE180">
        <f t="shared" si="2"/>
        <v>1767.5</v>
      </c>
    </row>
    <row r="181" spans="1:31" hidden="1" x14ac:dyDescent="0.3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  <c r="AE181">
        <f t="shared" si="2"/>
        <v>1794.9999999999998</v>
      </c>
    </row>
    <row r="182" spans="1:31" hidden="1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  <c r="AE182">
        <f t="shared" si="2"/>
        <v>1800.7</v>
      </c>
    </row>
    <row r="183" spans="1:31" hidden="1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  <c r="AE183">
        <f t="shared" si="2"/>
        <v>1748.3000000000002</v>
      </c>
    </row>
    <row r="184" spans="1:31" hidden="1" x14ac:dyDescent="0.3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  <c r="AE184">
        <f t="shared" si="2"/>
        <v>1779.9</v>
      </c>
    </row>
    <row r="185" spans="1:31" hidden="1" x14ac:dyDescent="0.3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  <c r="AE185">
        <f t="shared" si="2"/>
        <v>1781.5</v>
      </c>
    </row>
    <row r="186" spans="1:31" hidden="1" x14ac:dyDescent="0.3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  <c r="AE186">
        <f t="shared" si="2"/>
        <v>1727.9</v>
      </c>
    </row>
    <row r="187" spans="1:31" hidden="1" x14ac:dyDescent="0.3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  <c r="AE187">
        <f t="shared" si="2"/>
        <v>1760.3999999999996</v>
      </c>
    </row>
    <row r="188" spans="1:31" hidden="1" x14ac:dyDescent="0.3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  <c r="AE188">
        <f t="shared" si="2"/>
        <v>1781.9999999999998</v>
      </c>
    </row>
    <row r="189" spans="1:31" hidden="1" x14ac:dyDescent="0.3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  <c r="AE189">
        <f t="shared" si="2"/>
        <v>1715.5</v>
      </c>
    </row>
    <row r="190" spans="1:31" hidden="1" x14ac:dyDescent="0.3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  <c r="AE190">
        <f t="shared" si="2"/>
        <v>1756</v>
      </c>
    </row>
    <row r="191" spans="1:31" hidden="1" x14ac:dyDescent="0.3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  <c r="AE191">
        <f t="shared" si="2"/>
        <v>1780</v>
      </c>
    </row>
    <row r="192" spans="1:31" hidden="1" x14ac:dyDescent="0.3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  <c r="AE192">
        <f t="shared" si="2"/>
        <v>1720.0000000000002</v>
      </c>
    </row>
    <row r="193" spans="1:31" hidden="1" x14ac:dyDescent="0.3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  <c r="AE193">
        <f t="shared" si="2"/>
        <v>1757.1000000000001</v>
      </c>
    </row>
    <row r="194" spans="1:31" hidden="1" x14ac:dyDescent="0.3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  <c r="AE194">
        <f t="shared" si="2"/>
        <v>1782.4</v>
      </c>
    </row>
    <row r="195" spans="1:31" hidden="1" x14ac:dyDescent="0.3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  <c r="AE195">
        <f t="shared" ref="AE195:AE258" si="3">SUM(D195:P195)</f>
        <v>1722.8999999999999</v>
      </c>
    </row>
    <row r="196" spans="1:31" hidden="1" x14ac:dyDescent="0.3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  <c r="AE196">
        <f t="shared" si="3"/>
        <v>1759.8</v>
      </c>
    </row>
    <row r="197" spans="1:31" hidden="1" x14ac:dyDescent="0.3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  <c r="AE197">
        <f t="shared" si="3"/>
        <v>1790.2999999999997</v>
      </c>
    </row>
    <row r="198" spans="1:31" hidden="1" x14ac:dyDescent="0.3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  <c r="AE198">
        <f t="shared" si="3"/>
        <v>1747.3000000000002</v>
      </c>
    </row>
    <row r="199" spans="1:31" hidden="1" x14ac:dyDescent="0.3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  <c r="AE199">
        <f t="shared" si="3"/>
        <v>1774.1000000000001</v>
      </c>
    </row>
    <row r="200" spans="1:31" hidden="1" x14ac:dyDescent="0.3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  <c r="AE200">
        <f t="shared" si="3"/>
        <v>1810.5000000000002</v>
      </c>
    </row>
    <row r="201" spans="1:31" hidden="1" x14ac:dyDescent="0.3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  <c r="AE201">
        <f t="shared" si="3"/>
        <v>1771.1</v>
      </c>
    </row>
    <row r="202" spans="1:31" hidden="1" x14ac:dyDescent="0.3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  <c r="AE202">
        <f t="shared" si="3"/>
        <v>1795.3</v>
      </c>
    </row>
    <row r="203" spans="1:31" hidden="1" x14ac:dyDescent="0.3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  <c r="AE203">
        <f t="shared" si="3"/>
        <v>1818.8</v>
      </c>
    </row>
    <row r="204" spans="1:31" hidden="1" x14ac:dyDescent="0.3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  <c r="AE204">
        <f t="shared" si="3"/>
        <v>1767.6</v>
      </c>
    </row>
    <row r="205" spans="1:31" hidden="1" x14ac:dyDescent="0.3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  <c r="AE205">
        <f t="shared" si="3"/>
        <v>1798.7000000000003</v>
      </c>
    </row>
    <row r="206" spans="1:31" hidden="1" x14ac:dyDescent="0.3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  <c r="AE206">
        <f t="shared" si="3"/>
        <v>1799.8000000000002</v>
      </c>
    </row>
    <row r="207" spans="1:31" hidden="1" x14ac:dyDescent="0.3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  <c r="AE207">
        <f t="shared" si="3"/>
        <v>1748.4</v>
      </c>
    </row>
    <row r="208" spans="1:31" hidden="1" x14ac:dyDescent="0.3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  <c r="AE208">
        <f t="shared" si="3"/>
        <v>1779.5</v>
      </c>
    </row>
    <row r="209" spans="1:31" hidden="1" x14ac:dyDescent="0.3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  <c r="AE209">
        <f t="shared" si="3"/>
        <v>1782.2</v>
      </c>
    </row>
    <row r="210" spans="1:31" hidden="1" x14ac:dyDescent="0.3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  <c r="AE210">
        <f t="shared" si="3"/>
        <v>1754.1</v>
      </c>
    </row>
    <row r="211" spans="1:31" hidden="1" x14ac:dyDescent="0.3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  <c r="AE211">
        <f t="shared" si="3"/>
        <v>1776.2</v>
      </c>
    </row>
    <row r="212" spans="1:31" hidden="1" x14ac:dyDescent="0.3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  <c r="AE212">
        <f t="shared" si="3"/>
        <v>1787.4999999999995</v>
      </c>
    </row>
    <row r="213" spans="1:31" hidden="1" x14ac:dyDescent="0.3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  <c r="AE213">
        <f t="shared" si="3"/>
        <v>1757.4999999999998</v>
      </c>
    </row>
    <row r="214" spans="1:31" hidden="1" x14ac:dyDescent="0.3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  <c r="AE214">
        <f t="shared" si="3"/>
        <v>1775.7000000000003</v>
      </c>
    </row>
    <row r="215" spans="1:31" hidden="1" x14ac:dyDescent="0.3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  <c r="AE215">
        <f t="shared" si="3"/>
        <v>1773.1000000000001</v>
      </c>
    </row>
    <row r="216" spans="1:31" hidden="1" x14ac:dyDescent="0.3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  <c r="AE216">
        <f t="shared" si="3"/>
        <v>1746.6</v>
      </c>
    </row>
    <row r="217" spans="1:31" hidden="1" x14ac:dyDescent="0.3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  <c r="AE217">
        <f t="shared" si="3"/>
        <v>1762.7999999999997</v>
      </c>
    </row>
    <row r="218" spans="1:31" hidden="1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  <c r="AE218">
        <f t="shared" si="3"/>
        <v>1759.6000000000001</v>
      </c>
    </row>
    <row r="219" spans="1:31" hidden="1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  <c r="AE219">
        <f t="shared" si="3"/>
        <v>1744.3000000000002</v>
      </c>
    </row>
    <row r="220" spans="1:31" hidden="1" x14ac:dyDescent="0.3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  <c r="AE220">
        <f t="shared" si="3"/>
        <v>1753.3999999999999</v>
      </c>
    </row>
    <row r="221" spans="1:31" hidden="1" x14ac:dyDescent="0.3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  <c r="AE221">
        <f t="shared" si="3"/>
        <v>1759.8000000000002</v>
      </c>
    </row>
    <row r="222" spans="1:31" hidden="1" x14ac:dyDescent="0.3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  <c r="AE222">
        <f t="shared" si="3"/>
        <v>1754.4</v>
      </c>
    </row>
    <row r="223" spans="1:31" hidden="1" x14ac:dyDescent="0.3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  <c r="AE223">
        <f t="shared" si="3"/>
        <v>1757.1</v>
      </c>
    </row>
    <row r="224" spans="1:31" hidden="1" x14ac:dyDescent="0.3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  <c r="AE224">
        <f t="shared" si="3"/>
        <v>1761.2000000000003</v>
      </c>
    </row>
    <row r="225" spans="1:31" hidden="1" x14ac:dyDescent="0.3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  <c r="AE225">
        <f t="shared" si="3"/>
        <v>1768.4</v>
      </c>
    </row>
    <row r="226" spans="1:31" hidden="1" x14ac:dyDescent="0.3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  <c r="AE226">
        <f t="shared" si="3"/>
        <v>1762.9</v>
      </c>
    </row>
    <row r="227" spans="1:31" hidden="1" x14ac:dyDescent="0.3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  <c r="AE227">
        <f t="shared" si="3"/>
        <v>1782.1000000000001</v>
      </c>
    </row>
    <row r="228" spans="1:31" hidden="1" x14ac:dyDescent="0.3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  <c r="AE228">
        <f t="shared" si="3"/>
        <v>1811.5000000000002</v>
      </c>
    </row>
    <row r="229" spans="1:31" hidden="1" x14ac:dyDescent="0.3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  <c r="AE229">
        <f t="shared" si="3"/>
        <v>1791.9000000000003</v>
      </c>
    </row>
    <row r="230" spans="1:31" hidden="1" x14ac:dyDescent="0.3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  <c r="AE230">
        <f t="shared" si="3"/>
        <v>1804.1999999999998</v>
      </c>
    </row>
    <row r="231" spans="1:31" hidden="1" x14ac:dyDescent="0.3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  <c r="AE231">
        <f t="shared" si="3"/>
        <v>1833.2999999999997</v>
      </c>
    </row>
    <row r="232" spans="1:31" hidden="1" x14ac:dyDescent="0.3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  <c r="AE232">
        <f t="shared" si="3"/>
        <v>1814.1000000000001</v>
      </c>
    </row>
    <row r="233" spans="1:31" hidden="1" x14ac:dyDescent="0.3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  <c r="AE233">
        <f t="shared" si="3"/>
        <v>1826.8999999999999</v>
      </c>
    </row>
    <row r="234" spans="1:31" hidden="1" x14ac:dyDescent="0.3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  <c r="AE234">
        <f t="shared" si="3"/>
        <v>1857.3999999999999</v>
      </c>
    </row>
    <row r="235" spans="1:31" hidden="1" x14ac:dyDescent="0.3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  <c r="AE235">
        <f t="shared" si="3"/>
        <v>1837.5</v>
      </c>
    </row>
    <row r="236" spans="1:31" hidden="1" x14ac:dyDescent="0.3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  <c r="AE236">
        <f t="shared" si="3"/>
        <v>1834.5000000000002</v>
      </c>
    </row>
    <row r="237" spans="1:31" hidden="1" x14ac:dyDescent="0.3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  <c r="AE237">
        <f t="shared" si="3"/>
        <v>1869.1</v>
      </c>
    </row>
    <row r="238" spans="1:31" hidden="1" x14ac:dyDescent="0.3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  <c r="AE238">
        <f t="shared" si="3"/>
        <v>1846.5</v>
      </c>
    </row>
    <row r="239" spans="1:31" hidden="1" x14ac:dyDescent="0.3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  <c r="AE239">
        <f t="shared" si="3"/>
        <v>1848.7</v>
      </c>
    </row>
    <row r="240" spans="1:31" hidden="1" x14ac:dyDescent="0.3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  <c r="AE240">
        <f t="shared" si="3"/>
        <v>1874.9</v>
      </c>
    </row>
    <row r="241" spans="1:32" hidden="1" x14ac:dyDescent="0.3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  <c r="AE241">
        <f t="shared" si="3"/>
        <v>1857.6999999999998</v>
      </c>
    </row>
    <row r="242" spans="1:32" hidden="1" x14ac:dyDescent="0.3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  <c r="AE242">
        <f t="shared" si="3"/>
        <v>1876.8999999999996</v>
      </c>
    </row>
    <row r="243" spans="1:32" hidden="1" x14ac:dyDescent="0.3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  <c r="AE243">
        <f t="shared" si="3"/>
        <v>1902.6000000000001</v>
      </c>
    </row>
    <row r="244" spans="1:32" hidden="1" x14ac:dyDescent="0.3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  <c r="AE244">
        <f t="shared" si="3"/>
        <v>1885.5999999999997</v>
      </c>
    </row>
    <row r="245" spans="1:32" hidden="1" x14ac:dyDescent="0.3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  <c r="AE245">
        <f t="shared" si="3"/>
        <v>1904.6000000000001</v>
      </c>
    </row>
    <row r="246" spans="1:32" hidden="1" x14ac:dyDescent="0.3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  <c r="AE246">
        <f t="shared" si="3"/>
        <v>1923.9999999999998</v>
      </c>
    </row>
    <row r="247" spans="1:32" hidden="1" x14ac:dyDescent="0.3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  <c r="AE247">
        <f t="shared" si="3"/>
        <v>1910.9</v>
      </c>
    </row>
    <row r="248" spans="1:32" hidden="1" x14ac:dyDescent="0.3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  <c r="AE248">
        <f t="shared" si="3"/>
        <v>1940.9999999999995</v>
      </c>
    </row>
    <row r="249" spans="1:32" hidden="1" x14ac:dyDescent="0.3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  <c r="AE249">
        <f t="shared" si="3"/>
        <v>1956.7</v>
      </c>
    </row>
    <row r="250" spans="1:32" hidden="1" x14ac:dyDescent="0.3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  <c r="AE250">
        <f t="shared" si="3"/>
        <v>1946.1000000000001</v>
      </c>
    </row>
    <row r="251" spans="1:32" hidden="1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  <c r="AE251">
        <f t="shared" si="3"/>
        <v>1938.6</v>
      </c>
      <c r="AF251">
        <f>AVERAGE(AD251:AD259,AD266:AD274)</f>
        <v>150.85000000000002</v>
      </c>
    </row>
    <row r="252" spans="1:32" hidden="1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  <c r="AE252">
        <f t="shared" si="3"/>
        <v>1945.3999999999999</v>
      </c>
    </row>
    <row r="253" spans="1:32" hidden="1" x14ac:dyDescent="0.3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  <c r="AE253">
        <f t="shared" si="3"/>
        <v>1940.3999999999999</v>
      </c>
    </row>
    <row r="254" spans="1:32" hidden="1" x14ac:dyDescent="0.3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  <c r="AE254">
        <f t="shared" si="3"/>
        <v>1909.7999999999997</v>
      </c>
    </row>
    <row r="255" spans="1:32" hidden="1" x14ac:dyDescent="0.3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  <c r="AE255">
        <f t="shared" si="3"/>
        <v>1916.6</v>
      </c>
    </row>
    <row r="256" spans="1:32" hidden="1" x14ac:dyDescent="0.3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  <c r="AE256">
        <f t="shared" si="3"/>
        <v>1911.6</v>
      </c>
    </row>
    <row r="257" spans="1:31" hidden="1" x14ac:dyDescent="0.3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  <c r="AE257">
        <f t="shared" si="3"/>
        <v>1894.5999999999997</v>
      </c>
    </row>
    <row r="258" spans="1:31" hidden="1" x14ac:dyDescent="0.3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  <c r="AE258">
        <f t="shared" si="3"/>
        <v>1898.5</v>
      </c>
    </row>
    <row r="259" spans="1:31" hidden="1" x14ac:dyDescent="0.3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  <c r="AE259">
        <f t="shared" ref="AE259:AE322" si="4">SUM(D259:P259)</f>
        <v>1895.4</v>
      </c>
    </row>
    <row r="260" spans="1:31" hidden="1" x14ac:dyDescent="0.3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  <c r="AD260" s="36">
        <f>AF251</f>
        <v>150.85000000000002</v>
      </c>
      <c r="AE260">
        <f t="shared" si="4"/>
        <v>1614.8000000000002</v>
      </c>
    </row>
    <row r="261" spans="1:31" hidden="1" x14ac:dyDescent="0.3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  <c r="AD261" s="36">
        <f>$AF$251</f>
        <v>150.85000000000002</v>
      </c>
      <c r="AE261">
        <f t="shared" si="4"/>
        <v>1636.7</v>
      </c>
    </row>
    <row r="262" spans="1:31" hidden="1" x14ac:dyDescent="0.3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  <c r="AD262" s="36">
        <f t="shared" ref="AD262:AD265" si="5">$AF$251</f>
        <v>150.85000000000002</v>
      </c>
      <c r="AE262">
        <f t="shared" si="4"/>
        <v>1622.7</v>
      </c>
    </row>
    <row r="263" spans="1:31" hidden="1" x14ac:dyDescent="0.3">
      <c r="A263" t="s">
        <v>30</v>
      </c>
      <c r="B263">
        <v>2020</v>
      </c>
      <c r="C263" t="s">
        <v>41</v>
      </c>
      <c r="U263" t="s">
        <v>32</v>
      </c>
      <c r="AD263" s="36">
        <f t="shared" si="5"/>
        <v>150.85000000000002</v>
      </c>
      <c r="AE263">
        <f t="shared" si="4"/>
        <v>0</v>
      </c>
    </row>
    <row r="264" spans="1:31" hidden="1" x14ac:dyDescent="0.3">
      <c r="A264" t="s">
        <v>33</v>
      </c>
      <c r="B264">
        <v>2020</v>
      </c>
      <c r="C264" t="s">
        <v>41</v>
      </c>
      <c r="U264" t="s">
        <v>32</v>
      </c>
      <c r="AD264" s="36">
        <f t="shared" si="5"/>
        <v>150.85000000000002</v>
      </c>
      <c r="AE264">
        <f t="shared" si="4"/>
        <v>0</v>
      </c>
    </row>
    <row r="265" spans="1:31" hidden="1" x14ac:dyDescent="0.3">
      <c r="A265" t="s">
        <v>35</v>
      </c>
      <c r="B265">
        <v>2020</v>
      </c>
      <c r="C265" t="s">
        <v>41</v>
      </c>
      <c r="U265" t="s">
        <v>32</v>
      </c>
      <c r="AD265" s="36">
        <f t="shared" si="5"/>
        <v>150.85000000000002</v>
      </c>
      <c r="AE265">
        <f t="shared" si="4"/>
        <v>0</v>
      </c>
    </row>
    <row r="266" spans="1:31" hidden="1" x14ac:dyDescent="0.3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  <c r="AE266">
        <f t="shared" si="4"/>
        <v>1951</v>
      </c>
    </row>
    <row r="267" spans="1:31" hidden="1" x14ac:dyDescent="0.3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  <c r="AE267">
        <f t="shared" si="4"/>
        <v>1994.9999999999998</v>
      </c>
    </row>
    <row r="268" spans="1:31" hidden="1" x14ac:dyDescent="0.3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  <c r="AE268">
        <f t="shared" si="4"/>
        <v>1966.8000000000002</v>
      </c>
    </row>
    <row r="269" spans="1:31" hidden="1" x14ac:dyDescent="0.3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  <c r="AE269">
        <f t="shared" si="4"/>
        <v>1951</v>
      </c>
    </row>
    <row r="270" spans="1:31" hidden="1" x14ac:dyDescent="0.3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  <c r="AE270">
        <f t="shared" si="4"/>
        <v>1994.9999999999998</v>
      </c>
    </row>
    <row r="271" spans="1:31" hidden="1" x14ac:dyDescent="0.3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  <c r="AE271">
        <f t="shared" si="4"/>
        <v>1966.8000000000002</v>
      </c>
    </row>
    <row r="272" spans="1:31" hidden="1" x14ac:dyDescent="0.3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  <c r="AE272">
        <f t="shared" si="4"/>
        <v>1978.6</v>
      </c>
    </row>
    <row r="273" spans="1:31" hidden="1" x14ac:dyDescent="0.3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  <c r="AE273">
        <f t="shared" si="4"/>
        <v>2024.8999999999999</v>
      </c>
    </row>
    <row r="274" spans="1:31" hidden="1" x14ac:dyDescent="0.3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  <c r="AE274">
        <f t="shared" si="4"/>
        <v>1995.1999999999998</v>
      </c>
    </row>
    <row r="275" spans="1:31" hidden="1" x14ac:dyDescent="0.3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  <c r="AE275">
        <f t="shared" si="4"/>
        <v>1987.3999999999999</v>
      </c>
    </row>
    <row r="276" spans="1:31" hidden="1" x14ac:dyDescent="0.3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  <c r="AE276">
        <f t="shared" si="4"/>
        <v>2041.6000000000001</v>
      </c>
    </row>
    <row r="277" spans="1:31" hidden="1" x14ac:dyDescent="0.3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  <c r="AE277">
        <f t="shared" si="4"/>
        <v>2007</v>
      </c>
    </row>
    <row r="278" spans="1:31" hidden="1" x14ac:dyDescent="0.3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  <c r="AE278">
        <f t="shared" si="4"/>
        <v>2030.9</v>
      </c>
    </row>
    <row r="279" spans="1:31" hidden="1" x14ac:dyDescent="0.3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  <c r="AE279">
        <f t="shared" si="4"/>
        <v>2080.1999999999998</v>
      </c>
    </row>
    <row r="280" spans="1:31" hidden="1" x14ac:dyDescent="0.3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  <c r="AE280">
        <f t="shared" si="4"/>
        <v>2048.6000000000004</v>
      </c>
    </row>
    <row r="281" spans="1:31" hidden="1" x14ac:dyDescent="0.3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  <c r="AE281">
        <f t="shared" si="4"/>
        <v>2082.4</v>
      </c>
    </row>
    <row r="282" spans="1:31" hidden="1" x14ac:dyDescent="0.3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  <c r="AE282">
        <f t="shared" si="4"/>
        <v>2120.6999999999998</v>
      </c>
    </row>
    <row r="283" spans="1:31" hidden="1" x14ac:dyDescent="0.3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  <c r="AE283">
        <f t="shared" si="4"/>
        <v>2095.6</v>
      </c>
    </row>
    <row r="284" spans="1:31" hidden="1" x14ac:dyDescent="0.3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  <c r="AE284">
        <f t="shared" si="4"/>
        <v>2100.5</v>
      </c>
    </row>
    <row r="285" spans="1:31" hidden="1" x14ac:dyDescent="0.3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  <c r="AE285">
        <f t="shared" si="4"/>
        <v>2125.4</v>
      </c>
    </row>
    <row r="286" spans="1:31" hidden="1" x14ac:dyDescent="0.3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  <c r="AE286">
        <f t="shared" si="4"/>
        <v>2109.1</v>
      </c>
    </row>
    <row r="287" spans="1:31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  <c r="AE287">
        <f t="shared" si="4"/>
        <v>2065.6999999999998</v>
      </c>
    </row>
    <row r="288" spans="1:31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  <c r="AE288">
        <f t="shared" si="4"/>
        <v>2097</v>
      </c>
    </row>
    <row r="289" spans="1:31" hidden="1" x14ac:dyDescent="0.3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  <c r="AE289">
        <f t="shared" si="4"/>
        <v>2076.5</v>
      </c>
    </row>
    <row r="290" spans="1:31" hidden="1" x14ac:dyDescent="0.3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  <c r="AE290">
        <f t="shared" si="4"/>
        <v>2025.3</v>
      </c>
    </row>
    <row r="291" spans="1:31" hidden="1" x14ac:dyDescent="0.3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  <c r="AE291">
        <f t="shared" si="4"/>
        <v>2066</v>
      </c>
    </row>
    <row r="292" spans="1:31" hidden="1" x14ac:dyDescent="0.3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  <c r="AE292">
        <f t="shared" si="4"/>
        <v>2039.3000000000002</v>
      </c>
    </row>
    <row r="293" spans="1:31" hidden="1" x14ac:dyDescent="0.3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  <c r="AE293">
        <f t="shared" si="4"/>
        <v>2025.7</v>
      </c>
    </row>
    <row r="294" spans="1:31" hidden="1" x14ac:dyDescent="0.3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  <c r="AE294">
        <f t="shared" si="4"/>
        <v>2064.4999999999995</v>
      </c>
    </row>
    <row r="295" spans="1:31" hidden="1" x14ac:dyDescent="0.3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  <c r="AE295">
        <f t="shared" si="4"/>
        <v>2039.3999999999999</v>
      </c>
    </row>
    <row r="296" spans="1:31" hidden="1" x14ac:dyDescent="0.3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  <c r="AE296">
        <f t="shared" si="4"/>
        <v>2049.5</v>
      </c>
    </row>
    <row r="297" spans="1:31" hidden="1" x14ac:dyDescent="0.3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  <c r="AE297">
        <f t="shared" si="4"/>
        <v>2089.6</v>
      </c>
    </row>
    <row r="298" spans="1:31" hidden="1" x14ac:dyDescent="0.3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  <c r="AE298">
        <f t="shared" si="4"/>
        <v>2064.1</v>
      </c>
    </row>
    <row r="299" spans="1:31" hidden="1" x14ac:dyDescent="0.3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  <c r="AE299">
        <f t="shared" si="4"/>
        <v>2095.2999999999997</v>
      </c>
    </row>
    <row r="300" spans="1:31" hidden="1" x14ac:dyDescent="0.3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  <c r="AE300">
        <f t="shared" si="4"/>
        <v>2124.7000000000003</v>
      </c>
    </row>
    <row r="301" spans="1:31" hidden="1" x14ac:dyDescent="0.3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  <c r="AE301">
        <f t="shared" si="4"/>
        <v>2105.7000000000003</v>
      </c>
    </row>
    <row r="302" spans="1:31" hidden="1" x14ac:dyDescent="0.3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  <c r="AE302">
        <f t="shared" si="4"/>
        <v>2122.6</v>
      </c>
    </row>
    <row r="303" spans="1:31" hidden="1" x14ac:dyDescent="0.3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  <c r="AE303">
        <f t="shared" si="4"/>
        <v>2154.1999999999998</v>
      </c>
    </row>
    <row r="304" spans="1:31" hidden="1" x14ac:dyDescent="0.3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  <c r="AE304">
        <f t="shared" si="4"/>
        <v>2133.9</v>
      </c>
    </row>
    <row r="305" spans="1:31" hidden="1" x14ac:dyDescent="0.3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  <c r="AE305">
        <f t="shared" si="4"/>
        <v>2132.4</v>
      </c>
    </row>
    <row r="306" spans="1:31" hidden="1" x14ac:dyDescent="0.3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  <c r="AE306">
        <f t="shared" si="4"/>
        <v>2171.8000000000002</v>
      </c>
    </row>
    <row r="307" spans="1:31" hidden="1" x14ac:dyDescent="0.3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  <c r="AE307">
        <f t="shared" si="4"/>
        <v>2147</v>
      </c>
    </row>
    <row r="308" spans="1:31" hidden="1" x14ac:dyDescent="0.3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  <c r="AE308">
        <f t="shared" si="4"/>
        <v>2130.8000000000002</v>
      </c>
    </row>
    <row r="309" spans="1:31" hidden="1" x14ac:dyDescent="0.3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  <c r="AE309">
        <f t="shared" si="4"/>
        <v>2157.9</v>
      </c>
    </row>
    <row r="310" spans="1:31" hidden="1" x14ac:dyDescent="0.3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  <c r="AE310">
        <f t="shared" si="4"/>
        <v>2142</v>
      </c>
    </row>
    <row r="311" spans="1:31" hidden="1" x14ac:dyDescent="0.3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  <c r="AE311">
        <f t="shared" si="4"/>
        <v>2133.6</v>
      </c>
    </row>
    <row r="312" spans="1:31" hidden="1" x14ac:dyDescent="0.3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  <c r="AE312">
        <f t="shared" si="4"/>
        <v>2157.9</v>
      </c>
    </row>
    <row r="313" spans="1:31" hidden="1" x14ac:dyDescent="0.3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  <c r="AE313">
        <f t="shared" si="4"/>
        <v>2142</v>
      </c>
    </row>
    <row r="314" spans="1:31" hidden="1" x14ac:dyDescent="0.3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  <c r="AE314">
        <f t="shared" si="4"/>
        <v>2164.1999999999998</v>
      </c>
    </row>
    <row r="315" spans="1:31" hidden="1" x14ac:dyDescent="0.3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  <c r="AE315">
        <f t="shared" si="4"/>
        <v>2198.4000000000005</v>
      </c>
    </row>
    <row r="316" spans="1:31" hidden="1" x14ac:dyDescent="0.3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  <c r="AE316">
        <f t="shared" si="4"/>
        <v>2175.5</v>
      </c>
    </row>
    <row r="317" spans="1:31" hidden="1" x14ac:dyDescent="0.3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  <c r="AE317">
        <f t="shared" si="4"/>
        <v>2182</v>
      </c>
    </row>
    <row r="318" spans="1:31" hidden="1" x14ac:dyDescent="0.3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  <c r="AE318">
        <f t="shared" si="4"/>
        <v>2217.8999999999996</v>
      </c>
    </row>
    <row r="319" spans="1:31" hidden="1" x14ac:dyDescent="0.3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  <c r="AE319">
        <f t="shared" si="4"/>
        <v>2194.1</v>
      </c>
    </row>
    <row r="320" spans="1:31" hidden="1" x14ac:dyDescent="0.3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  <c r="AE320">
        <f t="shared" si="4"/>
        <v>2168.1999999999998</v>
      </c>
    </row>
    <row r="321" spans="1:31" hidden="1" x14ac:dyDescent="0.3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  <c r="AE321">
        <f t="shared" si="4"/>
        <v>2206.3000000000002</v>
      </c>
    </row>
    <row r="322" spans="1:31" hidden="1" x14ac:dyDescent="0.3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  <c r="AE322">
        <f t="shared" si="4"/>
        <v>2180.9</v>
      </c>
    </row>
    <row r="323" spans="1:31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  <c r="AE323">
        <f t="shared" ref="AE323:AE373" si="6">SUM(D323:P323)</f>
        <v>2153</v>
      </c>
    </row>
    <row r="324" spans="1:31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  <c r="AE324">
        <f t="shared" si="6"/>
        <v>2186.6999999999998</v>
      </c>
    </row>
    <row r="325" spans="1:31" x14ac:dyDescent="0.3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  <c r="AE325">
        <f t="shared" si="6"/>
        <v>2164.1999999999998</v>
      </c>
    </row>
    <row r="326" spans="1:31" hidden="1" x14ac:dyDescent="0.3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  <c r="AE326">
        <f t="shared" si="6"/>
        <v>2150.4</v>
      </c>
    </row>
    <row r="327" spans="1:31" hidden="1" x14ac:dyDescent="0.3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  <c r="AE327">
        <f t="shared" si="6"/>
        <v>2183.5</v>
      </c>
    </row>
    <row r="328" spans="1:31" x14ac:dyDescent="0.3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  <c r="AE328">
        <f t="shared" si="6"/>
        <v>2161.2000000000003</v>
      </c>
    </row>
    <row r="329" spans="1:31" hidden="1" x14ac:dyDescent="0.3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  <c r="AE329">
        <f t="shared" si="6"/>
        <v>2179.1000000000004</v>
      </c>
    </row>
    <row r="330" spans="1:31" hidden="1" x14ac:dyDescent="0.3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  <c r="AE330">
        <f t="shared" si="6"/>
        <v>2196.3000000000002</v>
      </c>
    </row>
    <row r="331" spans="1:31" hidden="1" x14ac:dyDescent="0.3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  <c r="AE331">
        <f t="shared" si="6"/>
        <v>2184.2000000000003</v>
      </c>
    </row>
    <row r="332" spans="1:31" hidden="1" x14ac:dyDescent="0.3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  <c r="AE332">
        <f t="shared" si="6"/>
        <v>2206.6</v>
      </c>
    </row>
    <row r="333" spans="1:31" hidden="1" x14ac:dyDescent="0.3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  <c r="AE333">
        <f t="shared" si="6"/>
        <v>2230.4</v>
      </c>
    </row>
    <row r="334" spans="1:31" hidden="1" x14ac:dyDescent="0.3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  <c r="AE334">
        <f t="shared" si="6"/>
        <v>2214.3000000000002</v>
      </c>
    </row>
    <row r="335" spans="1:31" hidden="1" x14ac:dyDescent="0.3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  <c r="AE335">
        <f t="shared" si="6"/>
        <v>2226.8000000000002</v>
      </c>
    </row>
    <row r="336" spans="1:31" hidden="1" x14ac:dyDescent="0.3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  <c r="AE336">
        <f t="shared" si="6"/>
        <v>2262.2000000000003</v>
      </c>
    </row>
    <row r="337" spans="1:31" hidden="1" x14ac:dyDescent="0.3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  <c r="AE337">
        <f t="shared" si="6"/>
        <v>2238.9000000000005</v>
      </c>
    </row>
    <row r="338" spans="1:31" hidden="1" x14ac:dyDescent="0.3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  <c r="AE338">
        <f t="shared" si="6"/>
        <v>2248.3000000000002</v>
      </c>
    </row>
    <row r="339" spans="1:31" hidden="1" x14ac:dyDescent="0.3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  <c r="AE339">
        <f t="shared" si="6"/>
        <v>2287.5</v>
      </c>
    </row>
    <row r="340" spans="1:31" hidden="1" x14ac:dyDescent="0.3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  <c r="AE340">
        <f t="shared" si="6"/>
        <v>2261.9</v>
      </c>
    </row>
    <row r="341" spans="1:31" hidden="1" x14ac:dyDescent="0.3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  <c r="AE341">
        <f t="shared" si="6"/>
        <v>2252.5</v>
      </c>
    </row>
    <row r="342" spans="1:31" hidden="1" x14ac:dyDescent="0.3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  <c r="AE342">
        <f t="shared" si="6"/>
        <v>2291.6</v>
      </c>
    </row>
    <row r="343" spans="1:31" hidden="1" x14ac:dyDescent="0.3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  <c r="AE343">
        <f t="shared" si="6"/>
        <v>2266.3000000000002</v>
      </c>
    </row>
    <row r="344" spans="1:31" hidden="1" x14ac:dyDescent="0.3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  <c r="AE344">
        <f t="shared" si="6"/>
        <v>2255.7999999999997</v>
      </c>
    </row>
    <row r="345" spans="1:31" hidden="1" x14ac:dyDescent="0.3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  <c r="AE345">
        <f t="shared" si="6"/>
        <v>2293.6999999999998</v>
      </c>
    </row>
    <row r="346" spans="1:31" hidden="1" x14ac:dyDescent="0.3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  <c r="AE346">
        <f t="shared" si="6"/>
        <v>2269.2000000000003</v>
      </c>
    </row>
    <row r="347" spans="1:31" hidden="1" x14ac:dyDescent="0.3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  <c r="AE347">
        <f t="shared" si="6"/>
        <v>2267.8000000000002</v>
      </c>
    </row>
    <row r="348" spans="1:31" hidden="1" x14ac:dyDescent="0.3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  <c r="AE348">
        <f t="shared" si="6"/>
        <v>2306.4</v>
      </c>
    </row>
    <row r="349" spans="1:31" hidden="1" x14ac:dyDescent="0.3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  <c r="AE349">
        <f t="shared" si="6"/>
        <v>2280.9</v>
      </c>
    </row>
    <row r="350" spans="1:31" hidden="1" x14ac:dyDescent="0.3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  <c r="AE350">
        <f t="shared" si="6"/>
        <v>2284.5</v>
      </c>
    </row>
    <row r="351" spans="1:31" hidden="1" x14ac:dyDescent="0.3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  <c r="AE351">
        <f t="shared" si="6"/>
        <v>2322.3000000000002</v>
      </c>
    </row>
    <row r="352" spans="1:31" hidden="1" x14ac:dyDescent="0.3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  <c r="AE352">
        <f t="shared" si="6"/>
        <v>2297.3000000000002</v>
      </c>
    </row>
    <row r="353" spans="1:31" hidden="1" x14ac:dyDescent="0.3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  <c r="AE353">
        <f t="shared" si="6"/>
        <v>2287.6999999999998</v>
      </c>
    </row>
    <row r="354" spans="1:31" hidden="1" x14ac:dyDescent="0.3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  <c r="AE354">
        <f t="shared" si="6"/>
        <v>2314.4</v>
      </c>
    </row>
    <row r="355" spans="1:31" hidden="1" x14ac:dyDescent="0.3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  <c r="AE355">
        <f t="shared" si="6"/>
        <v>2296.8000000000002</v>
      </c>
    </row>
    <row r="356" spans="1:31" hidden="1" x14ac:dyDescent="0.3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  <c r="AE356">
        <f t="shared" si="6"/>
        <v>2277.1</v>
      </c>
    </row>
    <row r="357" spans="1:31" hidden="1" x14ac:dyDescent="0.3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  <c r="AE357">
        <f t="shared" si="6"/>
        <v>2295.7999999999997</v>
      </c>
    </row>
    <row r="358" spans="1:31" hidden="1" x14ac:dyDescent="0.3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  <c r="AE358">
        <f t="shared" si="6"/>
        <v>2283.4</v>
      </c>
    </row>
    <row r="359" spans="1:31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  <c r="AE359">
        <f t="shared" si="6"/>
        <v>2283.2000000000003</v>
      </c>
    </row>
    <row r="360" spans="1:31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  <c r="AE360">
        <f t="shared" si="6"/>
        <v>2310.2000000000003</v>
      </c>
    </row>
    <row r="361" spans="1:31" hidden="1" x14ac:dyDescent="0.3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  <c r="AE361">
        <f t="shared" si="6"/>
        <v>2292.6999999999998</v>
      </c>
    </row>
    <row r="362" spans="1:31" hidden="1" x14ac:dyDescent="0.3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  <c r="AE362">
        <f t="shared" si="6"/>
        <v>2265.6999999999998</v>
      </c>
    </row>
    <row r="363" spans="1:31" hidden="1" x14ac:dyDescent="0.3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  <c r="AE363">
        <f t="shared" si="6"/>
        <v>2303.1999999999998</v>
      </c>
    </row>
    <row r="364" spans="1:31" hidden="1" x14ac:dyDescent="0.3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  <c r="AE364">
        <f t="shared" si="6"/>
        <v>2279.1</v>
      </c>
    </row>
    <row r="365" spans="1:31" hidden="1" x14ac:dyDescent="0.3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  <c r="AE365">
        <f t="shared" si="6"/>
        <v>2265.8000000000002</v>
      </c>
    </row>
    <row r="366" spans="1:31" hidden="1" x14ac:dyDescent="0.3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  <c r="AE366">
        <f t="shared" si="6"/>
        <v>2303.4</v>
      </c>
    </row>
    <row r="367" spans="1:31" hidden="1" x14ac:dyDescent="0.3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  <c r="AE367">
        <f t="shared" si="6"/>
        <v>2279.1999999999998</v>
      </c>
    </row>
    <row r="368" spans="1:31" hidden="1" x14ac:dyDescent="0.3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  <c r="AE368">
        <f t="shared" si="6"/>
        <v>2274.1999999999998</v>
      </c>
    </row>
    <row r="369" spans="1:31" hidden="1" x14ac:dyDescent="0.3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  <c r="AE369">
        <f t="shared" si="6"/>
        <v>2317.7000000000003</v>
      </c>
    </row>
    <row r="370" spans="1:31" hidden="1" x14ac:dyDescent="0.3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  <c r="AE370">
        <f t="shared" si="6"/>
        <v>2289.6000000000004</v>
      </c>
    </row>
    <row r="371" spans="1:31" hidden="1" x14ac:dyDescent="0.3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  <c r="AE371">
        <f t="shared" si="6"/>
        <v>2290.7000000000007</v>
      </c>
    </row>
    <row r="372" spans="1:31" hidden="1" x14ac:dyDescent="0.3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  <c r="AE372">
        <f t="shared" si="6"/>
        <v>2335.1</v>
      </c>
    </row>
    <row r="373" spans="1:31" hidden="1" x14ac:dyDescent="0.3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  <c r="AE373">
        <f t="shared" si="6"/>
        <v>2306.9</v>
      </c>
    </row>
    <row r="375" spans="1:31" x14ac:dyDescent="0.3">
      <c r="A375">
        <f>COUNTBLANK(A1:A373)</f>
        <v>0</v>
      </c>
      <c r="B375">
        <f t="shared" ref="B375:AD375" si="7">COUNTBLANK(B1:B373)</f>
        <v>0</v>
      </c>
      <c r="C375">
        <f t="shared" si="7"/>
        <v>0</v>
      </c>
      <c r="D375">
        <f t="shared" si="7"/>
        <v>3</v>
      </c>
      <c r="E375">
        <f t="shared" si="7"/>
        <v>6</v>
      </c>
      <c r="F375">
        <f t="shared" si="7"/>
        <v>3</v>
      </c>
      <c r="G375">
        <f t="shared" si="7"/>
        <v>3</v>
      </c>
      <c r="H375">
        <f t="shared" si="7"/>
        <v>3</v>
      </c>
      <c r="I375">
        <f t="shared" si="7"/>
        <v>3</v>
      </c>
      <c r="J375">
        <f t="shared" si="7"/>
        <v>3</v>
      </c>
      <c r="K375">
        <f t="shared" si="7"/>
        <v>3</v>
      </c>
      <c r="L375">
        <f t="shared" si="7"/>
        <v>3</v>
      </c>
      <c r="M375">
        <f t="shared" si="7"/>
        <v>3</v>
      </c>
      <c r="N375">
        <f t="shared" si="7"/>
        <v>3</v>
      </c>
      <c r="O375">
        <f t="shared" si="7"/>
        <v>6</v>
      </c>
      <c r="P375">
        <f t="shared" si="7"/>
        <v>3</v>
      </c>
      <c r="Q375">
        <f t="shared" si="7"/>
        <v>6</v>
      </c>
      <c r="R375">
        <f t="shared" si="7"/>
        <v>6</v>
      </c>
      <c r="S375">
        <f t="shared" si="7"/>
        <v>6</v>
      </c>
      <c r="T375">
        <f t="shared" si="7"/>
        <v>6</v>
      </c>
      <c r="U375">
        <f t="shared" si="7"/>
        <v>0</v>
      </c>
      <c r="V375">
        <f t="shared" si="7"/>
        <v>3</v>
      </c>
      <c r="W375">
        <f t="shared" si="7"/>
        <v>6</v>
      </c>
      <c r="X375">
        <f t="shared" si="7"/>
        <v>3</v>
      </c>
      <c r="Y375">
        <f t="shared" si="7"/>
        <v>6</v>
      </c>
      <c r="Z375">
        <f t="shared" si="7"/>
        <v>6</v>
      </c>
      <c r="AA375">
        <f t="shared" si="7"/>
        <v>6</v>
      </c>
      <c r="AB375">
        <f t="shared" si="7"/>
        <v>6</v>
      </c>
      <c r="AC375">
        <f t="shared" si="7"/>
        <v>6</v>
      </c>
      <c r="AD375">
        <f t="shared" si="7"/>
        <v>0</v>
      </c>
    </row>
  </sheetData>
  <autoFilter ref="A1:AF373" xr:uid="{D9071EBC-BEDE-4F7C-B9AA-08173811B606}">
    <filterColumn colId="0">
      <filters>
        <filter val="Rural+Urban"/>
      </filters>
    </filterColumn>
    <filterColumn colId="1">
      <filters>
        <filter val="2022"/>
      </filters>
    </filterColumn>
    <filterColumn colId="2">
      <filters>
        <filter val="February"/>
        <filter val="January"/>
      </filters>
    </filterColumn>
  </autoFilter>
  <pageMargins left="0.7" right="0.7" top="0.75" bottom="0.75" header="0.3" footer="0.3"/>
  <ignoredErrors>
    <ignoredError sqref="AF25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C2DC-F512-47BF-8247-43DEA08FC65E}">
  <dimension ref="D3:AH38"/>
  <sheetViews>
    <sheetView topLeftCell="K1" workbookViewId="0">
      <selection activeCell="O15" sqref="O15"/>
    </sheetView>
  </sheetViews>
  <sheetFormatPr defaultRowHeight="14.4" x14ac:dyDescent="0.3"/>
  <cols>
    <col min="4" max="4" width="30.44140625" bestFit="1" customWidth="1"/>
    <col min="19" max="19" width="24.109375" bestFit="1" customWidth="1"/>
  </cols>
  <sheetData>
    <row r="3" spans="4:34" ht="18" x14ac:dyDescent="0.35">
      <c r="D3" s="55" t="s">
        <v>165</v>
      </c>
      <c r="E3" s="55"/>
    </row>
    <row r="4" spans="4:34" x14ac:dyDescent="0.3">
      <c r="S4" s="3" t="s">
        <v>200</v>
      </c>
    </row>
    <row r="5" spans="4:34" x14ac:dyDescent="0.3">
      <c r="S5" t="s">
        <v>233</v>
      </c>
      <c r="T5" t="s">
        <v>3</v>
      </c>
      <c r="U5" t="s">
        <v>4</v>
      </c>
      <c r="V5" t="s">
        <v>5</v>
      </c>
      <c r="W5" t="s">
        <v>6</v>
      </c>
      <c r="X5" t="s">
        <v>7</v>
      </c>
      <c r="Y5" t="s">
        <v>8</v>
      </c>
      <c r="Z5" t="s">
        <v>9</v>
      </c>
      <c r="AA5" t="s">
        <v>10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H5" t="s">
        <v>232</v>
      </c>
    </row>
    <row r="6" spans="4:34" x14ac:dyDescent="0.3">
      <c r="D6" t="s">
        <v>0</v>
      </c>
      <c r="E6" t="s">
        <v>166</v>
      </c>
      <c r="S6" t="s">
        <v>203</v>
      </c>
      <c r="T6" t="s">
        <v>208</v>
      </c>
    </row>
    <row r="7" spans="4:34" x14ac:dyDescent="0.3">
      <c r="D7" t="s">
        <v>1</v>
      </c>
      <c r="E7" t="s">
        <v>167</v>
      </c>
      <c r="S7" t="s">
        <v>204</v>
      </c>
      <c r="T7" t="s">
        <v>228</v>
      </c>
    </row>
    <row r="8" spans="4:34" x14ac:dyDescent="0.3">
      <c r="D8" t="s">
        <v>2</v>
      </c>
      <c r="E8" t="s">
        <v>168</v>
      </c>
      <c r="S8" t="s">
        <v>205</v>
      </c>
      <c r="T8" t="s">
        <v>209</v>
      </c>
    </row>
    <row r="9" spans="4:34" x14ac:dyDescent="0.3">
      <c r="D9" s="1" t="s">
        <v>3</v>
      </c>
      <c r="E9" t="s">
        <v>169</v>
      </c>
      <c r="S9" t="s">
        <v>206</v>
      </c>
      <c r="T9" t="s">
        <v>231</v>
      </c>
    </row>
    <row r="10" spans="4:34" ht="14.4" customHeight="1" x14ac:dyDescent="0.3">
      <c r="D10" s="1" t="s">
        <v>4</v>
      </c>
      <c r="E10" t="s">
        <v>170</v>
      </c>
      <c r="S10" t="s">
        <v>210</v>
      </c>
      <c r="T10" t="s">
        <v>223</v>
      </c>
    </row>
    <row r="11" spans="4:34" x14ac:dyDescent="0.3">
      <c r="D11" s="1" t="s">
        <v>5</v>
      </c>
      <c r="E11" t="s">
        <v>171</v>
      </c>
      <c r="S11" t="s">
        <v>211</v>
      </c>
      <c r="T11" t="s">
        <v>211</v>
      </c>
    </row>
    <row r="12" spans="4:34" x14ac:dyDescent="0.3">
      <c r="D12" s="1" t="s">
        <v>6</v>
      </c>
      <c r="E12" t="s">
        <v>172</v>
      </c>
      <c r="S12" t="s">
        <v>229</v>
      </c>
      <c r="T12" t="s">
        <v>230</v>
      </c>
    </row>
    <row r="13" spans="4:34" x14ac:dyDescent="0.3">
      <c r="D13" s="1" t="s">
        <v>7</v>
      </c>
      <c r="E13" t="s">
        <v>173</v>
      </c>
    </row>
    <row r="14" spans="4:34" x14ac:dyDescent="0.3">
      <c r="D14" s="1" t="s">
        <v>8</v>
      </c>
      <c r="E14" t="s">
        <v>174</v>
      </c>
    </row>
    <row r="15" spans="4:34" x14ac:dyDescent="0.3">
      <c r="D15" s="1" t="s">
        <v>9</v>
      </c>
      <c r="E15" t="s">
        <v>175</v>
      </c>
    </row>
    <row r="16" spans="4:34" ht="14.4" customHeight="1" x14ac:dyDescent="0.3">
      <c r="D16" s="1" t="s">
        <v>10</v>
      </c>
      <c r="E16" t="s">
        <v>176</v>
      </c>
    </row>
    <row r="17" spans="4:5" x14ac:dyDescent="0.3">
      <c r="D17" s="1" t="s">
        <v>11</v>
      </c>
      <c r="E17" t="s">
        <v>177</v>
      </c>
    </row>
    <row r="18" spans="4:5" x14ac:dyDescent="0.3">
      <c r="D18" s="1" t="s">
        <v>12</v>
      </c>
      <c r="E18" t="s">
        <v>178</v>
      </c>
    </row>
    <row r="19" spans="4:5" x14ac:dyDescent="0.3">
      <c r="D19" s="13" t="s">
        <v>13</v>
      </c>
      <c r="E19" t="s">
        <v>180</v>
      </c>
    </row>
    <row r="20" spans="4:5" x14ac:dyDescent="0.3">
      <c r="D20" s="1" t="s">
        <v>14</v>
      </c>
      <c r="E20" t="s">
        <v>179</v>
      </c>
    </row>
    <row r="21" spans="4:5" x14ac:dyDescent="0.3">
      <c r="D21" s="14" t="s">
        <v>15</v>
      </c>
      <c r="E21" t="s">
        <v>182</v>
      </c>
    </row>
    <row r="22" spans="4:5" x14ac:dyDescent="0.3">
      <c r="D22" s="4" t="s">
        <v>16</v>
      </c>
      <c r="E22" t="s">
        <v>181</v>
      </c>
    </row>
    <row r="23" spans="4:5" ht="14.4" customHeight="1" x14ac:dyDescent="0.3">
      <c r="D23" s="5" t="s">
        <v>17</v>
      </c>
      <c r="E23" t="s">
        <v>196</v>
      </c>
    </row>
    <row r="24" spans="4:5" x14ac:dyDescent="0.3">
      <c r="D24" s="5" t="s">
        <v>18</v>
      </c>
      <c r="E24" t="s">
        <v>195</v>
      </c>
    </row>
    <row r="25" spans="4:5" x14ac:dyDescent="0.3">
      <c r="D25" s="15" t="s">
        <v>19</v>
      </c>
      <c r="E25" t="s">
        <v>183</v>
      </c>
    </row>
    <row r="26" spans="4:5" x14ac:dyDescent="0.3">
      <c r="D26" s="6" t="s">
        <v>20</v>
      </c>
      <c r="E26" t="s">
        <v>184</v>
      </c>
    </row>
    <row r="27" spans="4:5" x14ac:dyDescent="0.3">
      <c r="D27" s="7" t="s">
        <v>21</v>
      </c>
      <c r="E27" t="s">
        <v>185</v>
      </c>
    </row>
    <row r="28" spans="4:5" x14ac:dyDescent="0.3">
      <c r="D28" s="8" t="s">
        <v>22</v>
      </c>
      <c r="E28" t="s">
        <v>186</v>
      </c>
    </row>
    <row r="29" spans="4:5" x14ac:dyDescent="0.3">
      <c r="D29" s="9" t="s">
        <v>23</v>
      </c>
      <c r="E29" t="s">
        <v>187</v>
      </c>
    </row>
    <row r="30" spans="4:5" x14ac:dyDescent="0.3">
      <c r="D30" s="10" t="s">
        <v>24</v>
      </c>
      <c r="E30" t="s">
        <v>188</v>
      </c>
    </row>
    <row r="31" spans="4:5" x14ac:dyDescent="0.3">
      <c r="D31" s="3" t="s">
        <v>25</v>
      </c>
      <c r="E31" t="s">
        <v>189</v>
      </c>
    </row>
    <row r="32" spans="4:5" x14ac:dyDescent="0.3">
      <c r="D32" s="2" t="s">
        <v>26</v>
      </c>
      <c r="E32" t="s">
        <v>190</v>
      </c>
    </row>
    <row r="33" spans="4:6" x14ac:dyDescent="0.3">
      <c r="D33" s="9" t="s">
        <v>27</v>
      </c>
      <c r="E33" t="s">
        <v>191</v>
      </c>
    </row>
    <row r="34" spans="4:6" x14ac:dyDescent="0.3">
      <c r="D34" s="11" t="s">
        <v>28</v>
      </c>
      <c r="E34" t="s">
        <v>192</v>
      </c>
    </row>
    <row r="35" spans="4:6" x14ac:dyDescent="0.3">
      <c r="D35" s="12" t="s">
        <v>29</v>
      </c>
      <c r="E35" t="s">
        <v>193</v>
      </c>
    </row>
    <row r="38" spans="4:6" x14ac:dyDescent="0.3">
      <c r="F38" t="s">
        <v>194</v>
      </c>
    </row>
  </sheetData>
  <mergeCells count="1"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B82E-8404-48A6-8A7D-9191B994A115}">
  <dimension ref="B2:F29"/>
  <sheetViews>
    <sheetView workbookViewId="0">
      <selection activeCell="B29" sqref="B29"/>
    </sheetView>
  </sheetViews>
  <sheetFormatPr defaultRowHeight="14.4" x14ac:dyDescent="0.3"/>
  <sheetData>
    <row r="2" spans="2:4" x14ac:dyDescent="0.3">
      <c r="B2" t="s">
        <v>224</v>
      </c>
    </row>
    <row r="3" spans="2:4" x14ac:dyDescent="0.3">
      <c r="B3" t="s">
        <v>197</v>
      </c>
      <c r="D3" t="s">
        <v>202</v>
      </c>
    </row>
    <row r="4" spans="2:4" x14ac:dyDescent="0.3">
      <c r="B4" t="s">
        <v>198</v>
      </c>
      <c r="D4" t="s">
        <v>225</v>
      </c>
    </row>
    <row r="5" spans="2:4" x14ac:dyDescent="0.3">
      <c r="B5" t="s">
        <v>199</v>
      </c>
      <c r="D5" t="s">
        <v>226</v>
      </c>
    </row>
    <row r="6" spans="2:4" x14ac:dyDescent="0.3">
      <c r="B6" t="s">
        <v>200</v>
      </c>
      <c r="D6" t="s">
        <v>227</v>
      </c>
    </row>
    <row r="7" spans="2:4" x14ac:dyDescent="0.3">
      <c r="B7" t="s">
        <v>201</v>
      </c>
    </row>
    <row r="9" spans="2:4" x14ac:dyDescent="0.3">
      <c r="B9" t="s">
        <v>252</v>
      </c>
    </row>
    <row r="10" spans="2:4" x14ac:dyDescent="0.3">
      <c r="B10" t="s">
        <v>255</v>
      </c>
    </row>
    <row r="11" spans="2:4" x14ac:dyDescent="0.3">
      <c r="B11" t="s">
        <v>256</v>
      </c>
    </row>
    <row r="12" spans="2:4" x14ac:dyDescent="0.3">
      <c r="B12" t="s">
        <v>257</v>
      </c>
    </row>
    <row r="13" spans="2:4" x14ac:dyDescent="0.3">
      <c r="B13" t="s">
        <v>258</v>
      </c>
    </row>
    <row r="14" spans="2:4" x14ac:dyDescent="0.3">
      <c r="B14" t="s">
        <v>259</v>
      </c>
    </row>
    <row r="15" spans="2:4" x14ac:dyDescent="0.3">
      <c r="B15" t="s">
        <v>262</v>
      </c>
    </row>
    <row r="17" spans="2:6" x14ac:dyDescent="0.3">
      <c r="B17" t="s">
        <v>273</v>
      </c>
    </row>
    <row r="18" spans="2:6" x14ac:dyDescent="0.3">
      <c r="B18" t="s">
        <v>281</v>
      </c>
    </row>
    <row r="19" spans="2:6" x14ac:dyDescent="0.3">
      <c r="B19" t="s">
        <v>275</v>
      </c>
    </row>
    <row r="20" spans="2:6" x14ac:dyDescent="0.3">
      <c r="B20" t="s">
        <v>280</v>
      </c>
    </row>
    <row r="22" spans="2:6" x14ac:dyDescent="0.3">
      <c r="B22" t="s">
        <v>286</v>
      </c>
    </row>
    <row r="23" spans="2:6" x14ac:dyDescent="0.3">
      <c r="B23" t="s">
        <v>290</v>
      </c>
    </row>
    <row r="24" spans="2:6" x14ac:dyDescent="0.3">
      <c r="B24" t="s">
        <v>291</v>
      </c>
    </row>
    <row r="25" spans="2:6" x14ac:dyDescent="0.3">
      <c r="F25" t="s">
        <v>292</v>
      </c>
    </row>
    <row r="26" spans="2:6" x14ac:dyDescent="0.3">
      <c r="B26" t="s">
        <v>293</v>
      </c>
    </row>
    <row r="27" spans="2:6" x14ac:dyDescent="0.3">
      <c r="F27" t="s">
        <v>294</v>
      </c>
    </row>
    <row r="28" spans="2:6" x14ac:dyDescent="0.3">
      <c r="B28" t="s">
        <v>295</v>
      </c>
    </row>
    <row r="29" spans="2:6" x14ac:dyDescent="0.3">
      <c r="B29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EAD3-F25A-4954-A039-D0D0AA048F9A}">
  <dimension ref="C1:AE30"/>
  <sheetViews>
    <sheetView zoomScaleNormal="100" workbookViewId="0">
      <selection activeCell="AH8" sqref="AH8"/>
    </sheetView>
  </sheetViews>
  <sheetFormatPr defaultRowHeight="14.4" x14ac:dyDescent="0.3"/>
  <cols>
    <col min="17" max="17" width="30.44140625" bestFit="1" customWidth="1"/>
    <col min="18" max="19" width="6" bestFit="1" customWidth="1"/>
    <col min="20" max="20" width="11.21875" bestFit="1" customWidth="1"/>
    <col min="21" max="21" width="25.44140625" bestFit="1" customWidth="1"/>
    <col min="25" max="25" width="22.21875" bestFit="1" customWidth="1"/>
    <col min="28" max="28" width="13.6640625" bestFit="1" customWidth="1"/>
    <col min="31" max="31" width="15.109375" bestFit="1" customWidth="1"/>
  </cols>
  <sheetData>
    <row r="1" spans="3:31" x14ac:dyDescent="0.3">
      <c r="Q1" s="16">
        <v>45047</v>
      </c>
    </row>
    <row r="2" spans="3:31" ht="15.6" x14ac:dyDescent="0.3">
      <c r="C2" t="s">
        <v>251</v>
      </c>
      <c r="P2" s="16"/>
      <c r="Q2" s="19" t="s">
        <v>212</v>
      </c>
      <c r="R2" s="19" t="s">
        <v>30</v>
      </c>
      <c r="S2" s="19" t="s">
        <v>33</v>
      </c>
      <c r="T2" s="19" t="s">
        <v>35</v>
      </c>
      <c r="U2" s="19" t="s">
        <v>216</v>
      </c>
    </row>
    <row r="3" spans="3:31" x14ac:dyDescent="0.3">
      <c r="Q3" s="20" t="s">
        <v>3</v>
      </c>
      <c r="R3" s="17">
        <v>173.2</v>
      </c>
      <c r="S3" s="17">
        <v>174.7</v>
      </c>
      <c r="T3" s="17">
        <v>173.7</v>
      </c>
      <c r="U3" s="17" t="s">
        <v>235</v>
      </c>
    </row>
    <row r="4" spans="3:31" x14ac:dyDescent="0.3">
      <c r="Q4" s="20" t="s">
        <v>4</v>
      </c>
      <c r="R4" s="17">
        <v>211.5</v>
      </c>
      <c r="S4" s="17">
        <v>219.4</v>
      </c>
      <c r="T4" s="17">
        <v>214.3</v>
      </c>
      <c r="U4" s="17" t="s">
        <v>217</v>
      </c>
      <c r="Z4" t="s">
        <v>245</v>
      </c>
    </row>
    <row r="5" spans="3:31" ht="15.6" x14ac:dyDescent="0.3">
      <c r="Q5" s="20" t="s">
        <v>5</v>
      </c>
      <c r="R5" s="17">
        <v>171</v>
      </c>
      <c r="S5" s="17">
        <v>176.7</v>
      </c>
      <c r="T5" s="17">
        <v>173.2</v>
      </c>
      <c r="U5" s="17" t="s">
        <v>235</v>
      </c>
      <c r="Y5" s="30" t="s">
        <v>241</v>
      </c>
      <c r="Z5" s="20" t="s">
        <v>213</v>
      </c>
      <c r="AA5" s="20" t="s">
        <v>214</v>
      </c>
      <c r="AB5" s="20" t="s">
        <v>215</v>
      </c>
      <c r="AC5" s="20" t="s">
        <v>242</v>
      </c>
      <c r="AD5" s="20" t="s">
        <v>243</v>
      </c>
      <c r="AE5" s="20" t="s">
        <v>244</v>
      </c>
    </row>
    <row r="6" spans="3:31" x14ac:dyDescent="0.3">
      <c r="Q6" s="20" t="s">
        <v>6</v>
      </c>
      <c r="R6" s="17">
        <v>179.6</v>
      </c>
      <c r="S6" s="17">
        <v>179.4</v>
      </c>
      <c r="T6" s="17">
        <v>179.5</v>
      </c>
      <c r="U6" s="17" t="s">
        <v>217</v>
      </c>
      <c r="Y6" s="32" t="s">
        <v>235</v>
      </c>
      <c r="Z6" s="17">
        <f>SUM(R3:R12,R15)</f>
        <v>1920.9000000000003</v>
      </c>
      <c r="AA6" s="17">
        <f>SUM(S3:S12,S15)</f>
        <v>1971.5</v>
      </c>
      <c r="AB6" s="17">
        <f t="shared" ref="AB6" si="0">SUM(T3:T12,T15)</f>
        <v>1939.3</v>
      </c>
      <c r="AC6" s="31">
        <f>Z6/$Z$16</f>
        <v>0.42698052814083753</v>
      </c>
      <c r="AD6" s="31">
        <f>AA6/$AA$16</f>
        <v>0.42480984291839941</v>
      </c>
      <c r="AE6" s="31">
        <f>AB6/$AB$16</f>
        <v>0.41665950498453069</v>
      </c>
    </row>
    <row r="7" spans="3:31" x14ac:dyDescent="0.3">
      <c r="Q7" s="20" t="s">
        <v>7</v>
      </c>
      <c r="R7" s="17">
        <v>173.3</v>
      </c>
      <c r="S7" s="17">
        <v>164.4</v>
      </c>
      <c r="T7" s="17">
        <v>170</v>
      </c>
      <c r="U7" s="17" t="s">
        <v>217</v>
      </c>
      <c r="Y7" s="32" t="s">
        <v>206</v>
      </c>
      <c r="Z7" s="17">
        <f>SUM(R13,R14,R25,R27)</f>
        <v>728.49999999999989</v>
      </c>
      <c r="AA7" s="17">
        <f t="shared" ref="AA7" si="1">SUM(S13,S14,S25,S27)</f>
        <v>718.4</v>
      </c>
      <c r="AB7" s="17">
        <f>SUM(T13,T14,T25,T27)</f>
        <v>724</v>
      </c>
      <c r="AC7" s="31">
        <f>$Z7/$Z$16</f>
        <v>0.16193207077442867</v>
      </c>
      <c r="AD7" s="31">
        <f t="shared" ref="AD7:AD15" si="2">AA7/$AA$16</f>
        <v>0.15479756081794477</v>
      </c>
      <c r="AE7" s="31">
        <f t="shared" ref="AE7:AE15" si="3">AB7/$AB$16</f>
        <v>0.15555173599174973</v>
      </c>
    </row>
    <row r="8" spans="3:31" x14ac:dyDescent="0.3">
      <c r="Q8" s="20" t="s">
        <v>8</v>
      </c>
      <c r="R8" s="17">
        <v>169</v>
      </c>
      <c r="S8" s="17">
        <v>175.8</v>
      </c>
      <c r="T8" s="17">
        <v>172.2</v>
      </c>
      <c r="U8" s="17" t="s">
        <v>217</v>
      </c>
      <c r="Y8" s="32" t="s">
        <v>234</v>
      </c>
      <c r="Z8" s="17">
        <f>SUM(R16)</f>
        <v>199.9</v>
      </c>
      <c r="AA8" s="17">
        <f t="shared" ref="AA8:AB8" si="4">SUM(S16)</f>
        <v>204.2</v>
      </c>
      <c r="AB8" s="17">
        <f t="shared" si="4"/>
        <v>201</v>
      </c>
      <c r="AC8" s="31">
        <f>$Z8/$Z$16</f>
        <v>4.4434071307904319E-2</v>
      </c>
      <c r="AD8" s="31">
        <f t="shared" si="2"/>
        <v>4.4000086190178624E-2</v>
      </c>
      <c r="AE8" s="31">
        <f t="shared" si="3"/>
        <v>4.3184943279477479E-2</v>
      </c>
    </row>
    <row r="9" spans="3:31" x14ac:dyDescent="0.3">
      <c r="Q9" s="20" t="s">
        <v>9</v>
      </c>
      <c r="R9" s="17">
        <v>148.69999999999999</v>
      </c>
      <c r="S9" s="17">
        <v>185</v>
      </c>
      <c r="T9" s="17">
        <v>161</v>
      </c>
      <c r="U9" s="17" t="s">
        <v>217</v>
      </c>
      <c r="Y9" s="32" t="s">
        <v>218</v>
      </c>
      <c r="Z9" s="17">
        <f>SUM(R17:R19)</f>
        <v>569.90000000000009</v>
      </c>
      <c r="AA9" s="17">
        <f>SUM(S17:S19)</f>
        <v>528.70000000000005</v>
      </c>
      <c r="AB9" s="17">
        <f>SUM(T17:T19)</f>
        <v>553.20000000000005</v>
      </c>
      <c r="AC9" s="31">
        <f t="shared" ref="AC9:AC15" si="5">$Z9/$Z$16</f>
        <v>0.12667822530452563</v>
      </c>
      <c r="AD9" s="31">
        <f t="shared" si="2"/>
        <v>0.11392186860307267</v>
      </c>
      <c r="AE9" s="31">
        <f t="shared" si="3"/>
        <v>0.11885527672739772</v>
      </c>
    </row>
    <row r="10" spans="3:31" x14ac:dyDescent="0.3">
      <c r="Q10" s="20" t="s">
        <v>10</v>
      </c>
      <c r="R10" s="17">
        <v>174.9</v>
      </c>
      <c r="S10" s="17">
        <v>176.9</v>
      </c>
      <c r="T10" s="17">
        <v>175.6</v>
      </c>
      <c r="U10" s="17" t="s">
        <v>217</v>
      </c>
      <c r="Y10" s="32" t="s">
        <v>219</v>
      </c>
      <c r="Z10" s="17">
        <f>SUM(R20,R22)</f>
        <v>179.8</v>
      </c>
      <c r="AA10" s="17">
        <f>SUM(S20,S22)</f>
        <v>345.7</v>
      </c>
      <c r="AB10" s="17">
        <f>SUM(T20,T22)</f>
        <v>350.79999999999995</v>
      </c>
      <c r="AC10" s="31">
        <f t="shared" si="5"/>
        <v>3.9966213212412192E-2</v>
      </c>
      <c r="AD10" s="31">
        <f t="shared" si="2"/>
        <v>7.4489861880238734E-2</v>
      </c>
      <c r="AE10" s="31">
        <f t="shared" si="3"/>
        <v>7.5369542798212424E-2</v>
      </c>
    </row>
    <row r="11" spans="3:31" x14ac:dyDescent="0.3">
      <c r="Q11" s="20" t="s">
        <v>11</v>
      </c>
      <c r="R11" s="17">
        <v>121.9</v>
      </c>
      <c r="S11" s="17">
        <v>124.2</v>
      </c>
      <c r="T11" s="17">
        <v>122.7</v>
      </c>
      <c r="U11" s="17" t="s">
        <v>217</v>
      </c>
      <c r="Y11" s="32" t="s">
        <v>238</v>
      </c>
      <c r="Z11" s="17">
        <f>R21</f>
        <v>182.5</v>
      </c>
      <c r="AA11" s="17">
        <f t="shared" ref="AA11:AB11" si="6">S21</f>
        <v>183.4</v>
      </c>
      <c r="AB11" s="17">
        <f t="shared" si="6"/>
        <v>182.8</v>
      </c>
      <c r="AC11" s="31">
        <f t="shared" si="5"/>
        <v>4.0566373255090236E-2</v>
      </c>
      <c r="AD11" s="31">
        <f t="shared" si="2"/>
        <v>3.9518196901463076E-2</v>
      </c>
      <c r="AE11" s="31">
        <f t="shared" si="3"/>
        <v>3.9274664833276039E-2</v>
      </c>
    </row>
    <row r="12" spans="3:31" x14ac:dyDescent="0.3">
      <c r="Q12" s="20" t="s">
        <v>12</v>
      </c>
      <c r="R12" s="17">
        <v>221</v>
      </c>
      <c r="S12" s="17">
        <v>211.9</v>
      </c>
      <c r="T12" s="17">
        <v>218</v>
      </c>
      <c r="U12" s="17" t="s">
        <v>217</v>
      </c>
      <c r="Y12" s="32" t="s">
        <v>220</v>
      </c>
      <c r="Z12" s="17">
        <f>R23</f>
        <v>187.8</v>
      </c>
      <c r="AA12" s="17">
        <f t="shared" ref="AA12:AB12" si="7">S23</f>
        <v>182.2</v>
      </c>
      <c r="AB12" s="17">
        <f t="shared" si="7"/>
        <v>185.7</v>
      </c>
      <c r="AC12" s="31">
        <f t="shared" si="5"/>
        <v>4.174446519071752E-2</v>
      </c>
      <c r="AD12" s="31">
        <f t="shared" si="2"/>
        <v>3.9259626365575638E-2</v>
      </c>
      <c r="AE12" s="31">
        <f t="shared" si="3"/>
        <v>3.9897731179099338E-2</v>
      </c>
    </row>
    <row r="13" spans="3:31" x14ac:dyDescent="0.3">
      <c r="Q13" s="21" t="s">
        <v>13</v>
      </c>
      <c r="R13" s="17">
        <v>178.7</v>
      </c>
      <c r="S13" s="17">
        <v>165.9</v>
      </c>
      <c r="T13" s="17">
        <v>173.4</v>
      </c>
      <c r="U13" s="17" t="s">
        <v>206</v>
      </c>
      <c r="Y13" s="32" t="s">
        <v>240</v>
      </c>
      <c r="Z13" s="17">
        <f>R24</f>
        <v>169.7</v>
      </c>
      <c r="AA13" s="17">
        <f t="shared" ref="AA13" si="8">S24</f>
        <v>160.4</v>
      </c>
      <c r="AB13" s="17">
        <f>T24</f>
        <v>164.8</v>
      </c>
      <c r="AC13" s="31">
        <f t="shared" si="5"/>
        <v>3.7721170089801713E-2</v>
      </c>
      <c r="AD13" s="31">
        <f t="shared" si="2"/>
        <v>3.4562261630287229E-2</v>
      </c>
      <c r="AE13" s="31">
        <f t="shared" si="3"/>
        <v>3.5407356479889997E-2</v>
      </c>
    </row>
    <row r="14" spans="3:31" x14ac:dyDescent="0.3">
      <c r="Q14" s="21" t="s">
        <v>14</v>
      </c>
      <c r="R14" s="17">
        <v>191.1</v>
      </c>
      <c r="S14" s="17">
        <v>197.7</v>
      </c>
      <c r="T14" s="17">
        <v>194.2</v>
      </c>
      <c r="U14" s="17" t="s">
        <v>206</v>
      </c>
      <c r="Y14" s="32" t="s">
        <v>221</v>
      </c>
      <c r="Z14" s="17">
        <f>R26</f>
        <v>180.3</v>
      </c>
      <c r="AA14" s="17">
        <f t="shared" ref="AA14:AB14" si="9">S26</f>
        <v>174.8</v>
      </c>
      <c r="AB14" s="17">
        <f t="shared" si="9"/>
        <v>177.1</v>
      </c>
      <c r="AC14" s="31">
        <f t="shared" si="5"/>
        <v>4.0077353961056272E-2</v>
      </c>
      <c r="AD14" s="31">
        <f t="shared" si="2"/>
        <v>3.7665108060936453E-2</v>
      </c>
      <c r="AE14" s="31">
        <f t="shared" si="3"/>
        <v>3.8050017188037119E-2</v>
      </c>
    </row>
    <row r="15" spans="3:31" x14ac:dyDescent="0.3">
      <c r="Q15" s="20" t="s">
        <v>15</v>
      </c>
      <c r="R15" s="17">
        <v>176.8</v>
      </c>
      <c r="S15" s="17">
        <v>183.1</v>
      </c>
      <c r="T15" s="17">
        <v>179.1</v>
      </c>
      <c r="U15" s="17" t="s">
        <v>217</v>
      </c>
      <c r="Y15" s="32" t="s">
        <v>207</v>
      </c>
      <c r="Z15" s="17">
        <f>R28</f>
        <v>179.5</v>
      </c>
      <c r="AA15" s="17">
        <f t="shared" ref="AA15:AB15" si="10">S28</f>
        <v>171.6</v>
      </c>
      <c r="AB15" s="17">
        <f t="shared" si="10"/>
        <v>175.7</v>
      </c>
      <c r="AC15" s="31">
        <f t="shared" si="5"/>
        <v>3.9899528763225736E-2</v>
      </c>
      <c r="AD15" s="31">
        <f t="shared" si="2"/>
        <v>3.6975586631903291E-2</v>
      </c>
      <c r="AE15" s="31">
        <f t="shared" si="3"/>
        <v>3.7749226538329315E-2</v>
      </c>
    </row>
    <row r="16" spans="3:31" x14ac:dyDescent="0.3">
      <c r="Q16" s="22" t="s">
        <v>16</v>
      </c>
      <c r="R16" s="17">
        <v>199.9</v>
      </c>
      <c r="S16" s="17">
        <v>204.2</v>
      </c>
      <c r="T16" s="17">
        <v>201</v>
      </c>
      <c r="U16" s="17" t="s">
        <v>234</v>
      </c>
      <c r="Y16" s="28" t="s">
        <v>236</v>
      </c>
      <c r="Z16" s="28">
        <f>SUM(Z6:Z15)</f>
        <v>4498.8000000000011</v>
      </c>
      <c r="AA16" s="28">
        <f t="shared" ref="AA16:AB16" si="11">SUM(AA6:AA15)</f>
        <v>4640.9000000000005</v>
      </c>
      <c r="AB16" s="28">
        <f t="shared" si="11"/>
        <v>4654.4000000000005</v>
      </c>
      <c r="AC16" s="33">
        <f>SUM(AC6:AC15)</f>
        <v>0.99999999999999989</v>
      </c>
      <c r="AD16" s="34">
        <f>SUM(AD6:AD15)</f>
        <v>0.99999999999999978</v>
      </c>
      <c r="AE16" s="33">
        <f>SUM(AE6:AE15)</f>
        <v>0.99999999999999989</v>
      </c>
    </row>
    <row r="17" spans="4:21" x14ac:dyDescent="0.3">
      <c r="Q17" s="23" t="s">
        <v>17</v>
      </c>
      <c r="R17" s="17">
        <v>191.2</v>
      </c>
      <c r="S17" s="17">
        <v>181.3</v>
      </c>
      <c r="T17" s="17">
        <v>187.3</v>
      </c>
      <c r="U17" s="17" t="s">
        <v>218</v>
      </c>
    </row>
    <row r="18" spans="4:21" x14ac:dyDescent="0.3">
      <c r="Q18" s="23" t="s">
        <v>18</v>
      </c>
      <c r="R18" s="17">
        <v>187.9</v>
      </c>
      <c r="S18" s="17">
        <v>168.1</v>
      </c>
      <c r="T18" s="17">
        <v>179.7</v>
      </c>
      <c r="U18" s="17" t="s">
        <v>218</v>
      </c>
    </row>
    <row r="19" spans="4:21" x14ac:dyDescent="0.3">
      <c r="Q19" s="23" t="s">
        <v>19</v>
      </c>
      <c r="R19" s="17">
        <v>190.8</v>
      </c>
      <c r="S19" s="17">
        <v>179.3</v>
      </c>
      <c r="T19" s="17">
        <v>186.2</v>
      </c>
      <c r="U19" s="17" t="s">
        <v>218</v>
      </c>
    </row>
    <row r="20" spans="4:21" ht="21" x14ac:dyDescent="0.4">
      <c r="D20" s="35" t="s">
        <v>246</v>
      </c>
      <c r="Q20" s="25" t="s">
        <v>20</v>
      </c>
      <c r="R20" s="17" t="s">
        <v>139</v>
      </c>
      <c r="S20" s="17">
        <v>175.6</v>
      </c>
      <c r="T20" s="17">
        <v>175.6</v>
      </c>
      <c r="U20" s="17" t="s">
        <v>219</v>
      </c>
    </row>
    <row r="21" spans="4:21" x14ac:dyDescent="0.3">
      <c r="D21" t="s">
        <v>248</v>
      </c>
      <c r="Q21" s="24" t="s">
        <v>21</v>
      </c>
      <c r="R21" s="17">
        <v>182.5</v>
      </c>
      <c r="S21" s="17">
        <v>183.4</v>
      </c>
      <c r="T21" s="17">
        <v>182.8</v>
      </c>
      <c r="U21" s="17" t="s">
        <v>238</v>
      </c>
    </row>
    <row r="22" spans="4:21" x14ac:dyDescent="0.3">
      <c r="D22" t="s">
        <v>247</v>
      </c>
      <c r="Q22" s="25" t="s">
        <v>22</v>
      </c>
      <c r="R22" s="17">
        <v>179.8</v>
      </c>
      <c r="S22" s="17">
        <v>170.1</v>
      </c>
      <c r="T22" s="17">
        <v>175.2</v>
      </c>
      <c r="U22" s="17" t="s">
        <v>219</v>
      </c>
    </row>
    <row r="23" spans="4:21" x14ac:dyDescent="0.3">
      <c r="D23" t="s">
        <v>249</v>
      </c>
      <c r="Q23" s="18" t="s">
        <v>23</v>
      </c>
      <c r="R23" s="17">
        <v>187.8</v>
      </c>
      <c r="S23" s="17">
        <v>182.2</v>
      </c>
      <c r="T23" s="17">
        <v>185.7</v>
      </c>
      <c r="U23" s="17" t="s">
        <v>220</v>
      </c>
    </row>
    <row r="24" spans="4:21" x14ac:dyDescent="0.3">
      <c r="D24" t="s">
        <v>250</v>
      </c>
      <c r="Q24" s="26" t="s">
        <v>24</v>
      </c>
      <c r="R24" s="17">
        <v>169.7</v>
      </c>
      <c r="S24" s="17">
        <v>160.4</v>
      </c>
      <c r="T24" s="17">
        <v>164.8</v>
      </c>
      <c r="U24" s="17" t="s">
        <v>240</v>
      </c>
    </row>
    <row r="25" spans="4:21" x14ac:dyDescent="0.3">
      <c r="Q25" s="21" t="s">
        <v>25</v>
      </c>
      <c r="R25" s="17">
        <v>173.8</v>
      </c>
      <c r="S25" s="17">
        <v>169.2</v>
      </c>
      <c r="T25" s="17">
        <v>171.2</v>
      </c>
      <c r="U25" s="17" t="s">
        <v>206</v>
      </c>
    </row>
    <row r="26" spans="4:21" x14ac:dyDescent="0.3">
      <c r="Q26" s="27" t="s">
        <v>26</v>
      </c>
      <c r="R26" s="17">
        <v>180.3</v>
      </c>
      <c r="S26" s="17">
        <v>174.8</v>
      </c>
      <c r="T26" s="17">
        <v>177.1</v>
      </c>
      <c r="U26" s="17" t="s">
        <v>221</v>
      </c>
    </row>
    <row r="27" spans="4:21" x14ac:dyDescent="0.3">
      <c r="Q27" s="21" t="s">
        <v>27</v>
      </c>
      <c r="R27" s="17">
        <v>184.9</v>
      </c>
      <c r="S27" s="17">
        <v>185.6</v>
      </c>
      <c r="T27" s="17">
        <v>185.2</v>
      </c>
      <c r="U27" s="17" t="s">
        <v>206</v>
      </c>
    </row>
    <row r="28" spans="4:21" x14ac:dyDescent="0.3">
      <c r="Q28" s="24" t="s">
        <v>28</v>
      </c>
      <c r="R28" s="17">
        <v>179.5</v>
      </c>
      <c r="S28" s="17">
        <v>171.6</v>
      </c>
      <c r="T28" s="17">
        <v>175.7</v>
      </c>
      <c r="U28" s="17" t="s">
        <v>207</v>
      </c>
    </row>
    <row r="29" spans="4:21" ht="15.6" x14ac:dyDescent="0.3">
      <c r="Q29" s="29" t="s">
        <v>29</v>
      </c>
      <c r="R29" s="17">
        <v>179.8</v>
      </c>
      <c r="S29" s="17">
        <v>178.2</v>
      </c>
      <c r="T29" s="17">
        <v>179.1</v>
      </c>
      <c r="U29" s="17"/>
    </row>
    <row r="30" spans="4:21" x14ac:dyDescent="0.3">
      <c r="Q30" s="17" t="s">
        <v>239</v>
      </c>
      <c r="R30" s="17"/>
      <c r="S30" s="17"/>
      <c r="T30" s="17"/>
      <c r="U30" s="17"/>
    </row>
  </sheetData>
  <pageMargins left="0.7" right="0.7" top="0.75" bottom="0.75" header="0.3" footer="0.3"/>
  <ignoredErrors>
    <ignoredError sqref="Z9:AB9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73CE-D8EF-4892-BD6A-EB4268D7109F}">
  <dimension ref="C1:Y25"/>
  <sheetViews>
    <sheetView topLeftCell="I1" zoomScaleNormal="100" workbookViewId="0">
      <selection activeCell="AD23" sqref="AD23"/>
    </sheetView>
  </sheetViews>
  <sheetFormatPr defaultRowHeight="14.4" x14ac:dyDescent="0.3"/>
  <cols>
    <col min="17" max="17" width="14" bestFit="1" customWidth="1"/>
    <col min="25" max="25" width="12.109375" bestFit="1" customWidth="1"/>
  </cols>
  <sheetData>
    <row r="1" spans="3:25" x14ac:dyDescent="0.3">
      <c r="V1" s="20" t="s">
        <v>0</v>
      </c>
      <c r="W1" s="20" t="s">
        <v>1</v>
      </c>
      <c r="X1" s="20" t="s">
        <v>2</v>
      </c>
      <c r="Y1" s="20" t="s">
        <v>29</v>
      </c>
    </row>
    <row r="2" spans="3:25" ht="15.6" x14ac:dyDescent="0.3">
      <c r="C2" t="s">
        <v>252</v>
      </c>
      <c r="P2" s="56" t="s">
        <v>222</v>
      </c>
      <c r="Q2" s="56"/>
      <c r="R2" s="56"/>
      <c r="V2" s="17" t="s">
        <v>35</v>
      </c>
      <c r="W2" s="17">
        <v>2017</v>
      </c>
      <c r="X2" s="17" t="s">
        <v>31</v>
      </c>
      <c r="Y2" s="17">
        <v>130.30000000000001</v>
      </c>
    </row>
    <row r="3" spans="3:25" x14ac:dyDescent="0.3">
      <c r="Q3" s="38" t="s">
        <v>260</v>
      </c>
      <c r="V3" s="17" t="s">
        <v>35</v>
      </c>
      <c r="W3" s="17">
        <v>2017</v>
      </c>
      <c r="X3" s="17" t="s">
        <v>55</v>
      </c>
      <c r="Y3" s="17">
        <v>137.19999999999999</v>
      </c>
    </row>
    <row r="4" spans="3:25" x14ac:dyDescent="0.3">
      <c r="P4" s="40">
        <v>2017</v>
      </c>
      <c r="Q4" s="41">
        <f>(Y3-Y2)/Y2</f>
        <v>5.295471987720627E-2</v>
      </c>
      <c r="V4" s="17" t="s">
        <v>35</v>
      </c>
      <c r="W4" s="17">
        <v>2018</v>
      </c>
      <c r="X4" s="17" t="s">
        <v>31</v>
      </c>
      <c r="Y4" s="17">
        <v>136.9</v>
      </c>
    </row>
    <row r="5" spans="3:25" x14ac:dyDescent="0.3">
      <c r="P5" s="40">
        <v>2018</v>
      </c>
      <c r="Q5" s="41">
        <f>(Y5-Y4)/Y4</f>
        <v>2.3374726077428697E-2</v>
      </c>
      <c r="V5" s="17" t="s">
        <v>35</v>
      </c>
      <c r="W5" s="17">
        <v>2018</v>
      </c>
      <c r="X5" s="17" t="s">
        <v>55</v>
      </c>
      <c r="Y5" s="17">
        <v>140.1</v>
      </c>
    </row>
    <row r="6" spans="3:25" x14ac:dyDescent="0.3">
      <c r="P6" s="40">
        <v>2019</v>
      </c>
      <c r="Q6" s="41">
        <f>(Y7-Y6)/Y6</f>
        <v>7.7363896848137617E-2</v>
      </c>
      <c r="V6" s="17" t="s">
        <v>35</v>
      </c>
      <c r="W6" s="17">
        <v>2019</v>
      </c>
      <c r="X6" s="17" t="s">
        <v>31</v>
      </c>
      <c r="Y6" s="17">
        <v>139.6</v>
      </c>
    </row>
    <row r="7" spans="3:25" x14ac:dyDescent="0.3">
      <c r="P7" s="40">
        <v>2020</v>
      </c>
      <c r="Q7" s="41">
        <f>(Y9-Y8)/Y8</f>
        <v>5.7922769640479481E-2</v>
      </c>
      <c r="S7" t="s">
        <v>263</v>
      </c>
      <c r="V7" s="17" t="s">
        <v>35</v>
      </c>
      <c r="W7" s="17">
        <v>2019</v>
      </c>
      <c r="X7" s="17" t="s">
        <v>55</v>
      </c>
      <c r="Y7" s="17">
        <v>150.4</v>
      </c>
    </row>
    <row r="8" spans="3:25" x14ac:dyDescent="0.3">
      <c r="P8" s="40">
        <v>2021</v>
      </c>
      <c r="Q8" s="41">
        <f>(Y11-Y10)/Y10</f>
        <v>5.657978385251098E-2</v>
      </c>
      <c r="V8" s="17" t="s">
        <v>35</v>
      </c>
      <c r="W8" s="17">
        <v>2020</v>
      </c>
      <c r="X8" s="17" t="s">
        <v>31</v>
      </c>
      <c r="Y8" s="17">
        <v>150.19999999999999</v>
      </c>
    </row>
    <row r="9" spans="3:25" x14ac:dyDescent="0.3">
      <c r="P9" s="40">
        <v>2022</v>
      </c>
      <c r="Q9" s="41">
        <f>(Y13-Y12)/Y12</f>
        <v>6.0350030175015092E-2</v>
      </c>
      <c r="V9" s="17" t="s">
        <v>35</v>
      </c>
      <c r="W9" s="17">
        <v>2020</v>
      </c>
      <c r="X9" s="17" t="s">
        <v>55</v>
      </c>
      <c r="Y9" s="17">
        <v>158.9</v>
      </c>
    </row>
    <row r="10" spans="3:25" x14ac:dyDescent="0.3">
      <c r="P10" s="40">
        <v>2023</v>
      </c>
      <c r="Q10" s="42" t="s">
        <v>261</v>
      </c>
      <c r="V10" s="17" t="s">
        <v>35</v>
      </c>
      <c r="W10" s="17">
        <v>2021</v>
      </c>
      <c r="X10" s="17" t="s">
        <v>31</v>
      </c>
      <c r="Y10" s="17">
        <v>157.30000000000001</v>
      </c>
    </row>
    <row r="11" spans="3:25" x14ac:dyDescent="0.3">
      <c r="V11" s="17" t="s">
        <v>35</v>
      </c>
      <c r="W11" s="17">
        <v>2021</v>
      </c>
      <c r="X11" s="17" t="s">
        <v>55</v>
      </c>
      <c r="Y11" s="17">
        <v>166.2</v>
      </c>
    </row>
    <row r="12" spans="3:25" x14ac:dyDescent="0.3">
      <c r="C12" t="s">
        <v>253</v>
      </c>
      <c r="V12" s="17" t="s">
        <v>35</v>
      </c>
      <c r="W12" s="17">
        <v>2022</v>
      </c>
      <c r="X12" s="17" t="s">
        <v>31</v>
      </c>
      <c r="Y12" s="17">
        <v>165.7</v>
      </c>
    </row>
    <row r="13" spans="3:25" x14ac:dyDescent="0.3">
      <c r="C13" t="s">
        <v>264</v>
      </c>
      <c r="V13" s="17" t="s">
        <v>35</v>
      </c>
      <c r="W13" s="17">
        <v>2022</v>
      </c>
      <c r="X13" s="17" t="s">
        <v>55</v>
      </c>
      <c r="Y13" s="17">
        <v>175.7</v>
      </c>
    </row>
    <row r="14" spans="3:25" x14ac:dyDescent="0.3">
      <c r="C14" t="s">
        <v>265</v>
      </c>
      <c r="V14" s="17" t="s">
        <v>35</v>
      </c>
      <c r="W14" s="17">
        <v>2023</v>
      </c>
      <c r="X14" s="17" t="s">
        <v>31</v>
      </c>
      <c r="Y14" s="17">
        <v>176.5</v>
      </c>
    </row>
    <row r="15" spans="3:25" x14ac:dyDescent="0.3">
      <c r="C15" t="s">
        <v>266</v>
      </c>
      <c r="L15" t="s">
        <v>194</v>
      </c>
    </row>
    <row r="19" spans="3:3" x14ac:dyDescent="0.3">
      <c r="C19" t="s">
        <v>254</v>
      </c>
    </row>
    <row r="20" spans="3:3" x14ac:dyDescent="0.3">
      <c r="C20" t="s">
        <v>267</v>
      </c>
    </row>
    <row r="21" spans="3:3" x14ac:dyDescent="0.3">
      <c r="C21" t="s">
        <v>268</v>
      </c>
    </row>
    <row r="22" spans="3:3" x14ac:dyDescent="0.3">
      <c r="C22" t="s">
        <v>269</v>
      </c>
    </row>
    <row r="23" spans="3:3" x14ac:dyDescent="0.3">
      <c r="C23" t="s">
        <v>270</v>
      </c>
    </row>
    <row r="24" spans="3:3" x14ac:dyDescent="0.3">
      <c r="C24" t="s">
        <v>271</v>
      </c>
    </row>
    <row r="25" spans="3:3" x14ac:dyDescent="0.3">
      <c r="C25" t="s">
        <v>272</v>
      </c>
    </row>
  </sheetData>
  <mergeCells count="1">
    <mergeCell ref="P2:R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7758-2EC6-4B4D-A7AA-9C55CD1A0E70}">
  <dimension ref="B1:BD29"/>
  <sheetViews>
    <sheetView zoomScaleNormal="100" workbookViewId="0">
      <selection activeCell="AM1" sqref="AM1"/>
    </sheetView>
  </sheetViews>
  <sheetFormatPr defaultRowHeight="14.4" x14ac:dyDescent="0.3"/>
  <cols>
    <col min="17" max="17" width="15.33203125" bestFit="1" customWidth="1"/>
    <col min="18" max="18" width="16.88671875" bestFit="1" customWidth="1"/>
    <col min="22" max="22" width="22.44140625" bestFit="1" customWidth="1"/>
    <col min="39" max="39" width="9" customWidth="1"/>
    <col min="43" max="43" width="17" bestFit="1" customWidth="1"/>
  </cols>
  <sheetData>
    <row r="1" spans="2:56" x14ac:dyDescent="0.3">
      <c r="N1" s="43" t="s">
        <v>276</v>
      </c>
      <c r="O1" s="43" t="s">
        <v>277</v>
      </c>
      <c r="P1" s="43" t="s">
        <v>278</v>
      </c>
      <c r="Q1" s="43" t="s">
        <v>279</v>
      </c>
      <c r="R1" s="43" t="s">
        <v>282</v>
      </c>
      <c r="V1" s="11" t="s">
        <v>0</v>
      </c>
      <c r="W1" s="11" t="s">
        <v>1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9</v>
      </c>
      <c r="AF1" s="11" t="s">
        <v>10</v>
      </c>
      <c r="AG1" s="11" t="s">
        <v>11</v>
      </c>
      <c r="AH1" s="11" t="s">
        <v>12</v>
      </c>
      <c r="AI1" s="11" t="s">
        <v>13</v>
      </c>
      <c r="AJ1" s="11" t="s">
        <v>14</v>
      </c>
      <c r="AK1" s="11" t="s">
        <v>15</v>
      </c>
      <c r="AL1" s="11" t="s">
        <v>29</v>
      </c>
      <c r="AM1" s="11" t="s">
        <v>279</v>
      </c>
    </row>
    <row r="2" spans="2:56" x14ac:dyDescent="0.3">
      <c r="N2" s="17" t="s">
        <v>35</v>
      </c>
      <c r="O2" s="17">
        <v>2022</v>
      </c>
      <c r="P2" s="17" t="s">
        <v>42</v>
      </c>
      <c r="Q2" s="17">
        <v>2261.9</v>
      </c>
      <c r="R2" s="44">
        <f>(Q2-N15)/N15</f>
        <v>1.0272901871454526E-2</v>
      </c>
      <c r="V2" t="s">
        <v>35</v>
      </c>
      <c r="W2">
        <v>2022</v>
      </c>
      <c r="X2" t="s">
        <v>41</v>
      </c>
      <c r="Y2">
        <v>154.1</v>
      </c>
      <c r="Z2">
        <v>217</v>
      </c>
      <c r="AA2">
        <v>162.4</v>
      </c>
      <c r="AB2">
        <v>164.9</v>
      </c>
      <c r="AC2">
        <v>202.4</v>
      </c>
      <c r="AD2">
        <v>171</v>
      </c>
      <c r="AE2">
        <v>174.9</v>
      </c>
      <c r="AF2">
        <v>164.7</v>
      </c>
      <c r="AG2">
        <v>119.7</v>
      </c>
      <c r="AH2">
        <v>184.9</v>
      </c>
      <c r="AI2">
        <v>167.1</v>
      </c>
      <c r="AJ2">
        <v>182.5</v>
      </c>
      <c r="AK2">
        <v>173.3</v>
      </c>
      <c r="AL2">
        <v>171.7</v>
      </c>
      <c r="AM2">
        <v>2238.9000000000005</v>
      </c>
    </row>
    <row r="3" spans="2:56" x14ac:dyDescent="0.3">
      <c r="B3" t="s">
        <v>273</v>
      </c>
      <c r="N3" s="17" t="s">
        <v>35</v>
      </c>
      <c r="O3" s="17">
        <v>2022</v>
      </c>
      <c r="P3" s="17" t="s">
        <v>44</v>
      </c>
      <c r="Q3" s="17">
        <v>2266.3000000000002</v>
      </c>
      <c r="R3" s="44">
        <f>(Q3-Q2)/Q2</f>
        <v>1.9452672531942573E-3</v>
      </c>
      <c r="V3" t="s">
        <v>35</v>
      </c>
      <c r="W3">
        <v>2022</v>
      </c>
      <c r="X3" t="s">
        <v>42</v>
      </c>
      <c r="Y3">
        <v>155</v>
      </c>
      <c r="Z3">
        <v>219.4</v>
      </c>
      <c r="AA3">
        <v>170.8</v>
      </c>
      <c r="AB3">
        <v>165.8</v>
      </c>
      <c r="AC3">
        <v>200.9</v>
      </c>
      <c r="AD3">
        <v>169.7</v>
      </c>
      <c r="AE3">
        <v>182.3</v>
      </c>
      <c r="AF3">
        <v>164.3</v>
      </c>
      <c r="AG3">
        <v>119.9</v>
      </c>
      <c r="AH3">
        <v>187.1</v>
      </c>
      <c r="AI3">
        <v>167.9</v>
      </c>
      <c r="AJ3">
        <v>183.9</v>
      </c>
      <c r="AK3">
        <v>174.9</v>
      </c>
      <c r="AL3">
        <v>172.6</v>
      </c>
      <c r="AM3">
        <v>2261.9</v>
      </c>
      <c r="AQ3" s="46" t="s">
        <v>282</v>
      </c>
      <c r="AR3" s="46" t="s">
        <v>3</v>
      </c>
      <c r="AS3" s="46" t="s">
        <v>4</v>
      </c>
      <c r="AT3" s="46" t="s">
        <v>5</v>
      </c>
      <c r="AU3" s="46" t="s">
        <v>6</v>
      </c>
      <c r="AV3" s="46" t="s">
        <v>7</v>
      </c>
      <c r="AW3" s="46" t="s">
        <v>8</v>
      </c>
      <c r="AX3" s="46" t="s">
        <v>9</v>
      </c>
      <c r="AY3" s="46" t="s">
        <v>10</v>
      </c>
      <c r="AZ3" s="46" t="s">
        <v>11</v>
      </c>
      <c r="BA3" s="46" t="s">
        <v>12</v>
      </c>
      <c r="BB3" s="46" t="s">
        <v>13</v>
      </c>
      <c r="BC3" s="46" t="s">
        <v>14</v>
      </c>
      <c r="BD3" s="46" t="s">
        <v>15</v>
      </c>
    </row>
    <row r="4" spans="2:56" x14ac:dyDescent="0.3">
      <c r="N4" s="17" t="s">
        <v>35</v>
      </c>
      <c r="O4" s="17">
        <v>2022</v>
      </c>
      <c r="P4" s="17" t="s">
        <v>46</v>
      </c>
      <c r="Q4" s="17">
        <v>2269.2000000000003</v>
      </c>
      <c r="R4" s="44">
        <f t="shared" ref="R4:R13" si="0">(Q4-Q3)/Q3</f>
        <v>1.279618761858576E-3</v>
      </c>
      <c r="V4" t="s">
        <v>35</v>
      </c>
      <c r="W4">
        <v>2022</v>
      </c>
      <c r="X4" t="s">
        <v>44</v>
      </c>
      <c r="Y4">
        <v>156.5</v>
      </c>
      <c r="Z4">
        <v>213</v>
      </c>
      <c r="AA4">
        <v>175.2</v>
      </c>
      <c r="AB4">
        <v>166.6</v>
      </c>
      <c r="AC4">
        <v>195.8</v>
      </c>
      <c r="AD4">
        <v>174.2</v>
      </c>
      <c r="AE4">
        <v>182.1</v>
      </c>
      <c r="AF4">
        <v>164.3</v>
      </c>
      <c r="AG4">
        <v>120</v>
      </c>
      <c r="AH4">
        <v>190</v>
      </c>
      <c r="AI4">
        <v>168.4</v>
      </c>
      <c r="AJ4">
        <v>185.2</v>
      </c>
      <c r="AK4">
        <v>175</v>
      </c>
      <c r="AL4">
        <v>173.4</v>
      </c>
      <c r="AM4">
        <v>2266.3000000000002</v>
      </c>
      <c r="AQ4" s="26" t="str">
        <f t="shared" ref="AQ4:AQ15" si="1">_xlfn.TEXTJOIN(" ",TRUE,X3,W3)</f>
        <v>June 2022</v>
      </c>
      <c r="AR4" s="39">
        <f t="shared" ref="AR4:AR15" si="2">(Y3-Y2)/Y2</f>
        <v>5.8403634003893947E-3</v>
      </c>
      <c r="AS4" s="37">
        <f t="shared" ref="AS4:AS15" si="3">(Z3-Z2)/Z2</f>
        <v>1.1059907834101408E-2</v>
      </c>
      <c r="AT4" s="37">
        <f t="shared" ref="AT4:AT15" si="4">(AA3-AA2)/AA2</f>
        <v>5.1724137931034517E-2</v>
      </c>
      <c r="AU4" s="37">
        <f t="shared" ref="AU4:AU15" si="5">(AB3-AB2)/AB2</f>
        <v>5.4578532443905741E-3</v>
      </c>
      <c r="AV4" s="37">
        <f t="shared" ref="AV4:AV15" si="6">(AC3-AC2)/AC2</f>
        <v>-7.411067193675889E-3</v>
      </c>
      <c r="AW4" s="37">
        <f t="shared" ref="AW4:AW15" si="7">(AD3-AD2)/AD2</f>
        <v>-7.6023391812866164E-3</v>
      </c>
      <c r="AX4" s="37">
        <f t="shared" ref="AX4:AX15" si="8">(AE3-AE2)/AE2</f>
        <v>4.230989136649517E-2</v>
      </c>
      <c r="AY4" s="37">
        <f t="shared" ref="AY4:AY15" si="9">(AF3-AF2)/AF2</f>
        <v>-2.4286581663629466E-3</v>
      </c>
      <c r="AZ4" s="37">
        <f t="shared" ref="AZ4:AZ15" si="10">(AG3-AG2)/AG2</f>
        <v>1.6708437761069578E-3</v>
      </c>
      <c r="BA4" s="37">
        <f t="shared" ref="BA4:BA15" si="11">(AH3-AH2)/AH2</f>
        <v>1.1898323418063756E-2</v>
      </c>
      <c r="BB4" s="37">
        <f t="shared" ref="BB4:BB15" si="12">(AI3-AI2)/AI2</f>
        <v>4.7875523638540481E-3</v>
      </c>
      <c r="BC4" s="37">
        <f t="shared" ref="BC4:BC15" si="13">(AJ3-AJ2)/AJ2</f>
        <v>7.6712328767123599E-3</v>
      </c>
      <c r="BD4" s="37">
        <f t="shared" ref="BD4:BD15" si="14">(AK3-AK2)/AK2</f>
        <v>9.2325447201384546E-3</v>
      </c>
    </row>
    <row r="5" spans="2:56" x14ac:dyDescent="0.3">
      <c r="N5" s="17" t="s">
        <v>35</v>
      </c>
      <c r="O5" s="17">
        <v>2022</v>
      </c>
      <c r="P5" s="17" t="s">
        <v>48</v>
      </c>
      <c r="Q5" s="17">
        <v>2280.9</v>
      </c>
      <c r="R5" s="44">
        <f t="shared" si="0"/>
        <v>5.1560021152828386E-3</v>
      </c>
      <c r="V5" t="s">
        <v>35</v>
      </c>
      <c r="W5">
        <v>2022</v>
      </c>
      <c r="X5" t="s">
        <v>46</v>
      </c>
      <c r="Y5">
        <v>160.30000000000001</v>
      </c>
      <c r="Z5">
        <v>206.5</v>
      </c>
      <c r="AA5">
        <v>169.2</v>
      </c>
      <c r="AB5">
        <v>168.1</v>
      </c>
      <c r="AC5">
        <v>192.4</v>
      </c>
      <c r="AD5">
        <v>172.9</v>
      </c>
      <c r="AE5">
        <v>186.7</v>
      </c>
      <c r="AF5">
        <v>167.2</v>
      </c>
      <c r="AG5">
        <v>120.9</v>
      </c>
      <c r="AH5">
        <v>193.6</v>
      </c>
      <c r="AI5">
        <v>168.8</v>
      </c>
      <c r="AJ5">
        <v>186.3</v>
      </c>
      <c r="AK5">
        <v>176.3</v>
      </c>
      <c r="AL5">
        <v>174.3</v>
      </c>
      <c r="AM5">
        <v>2269.2000000000003</v>
      </c>
      <c r="AQ5" s="26" t="str">
        <f t="shared" si="1"/>
        <v>July 2022</v>
      </c>
      <c r="AR5" s="39">
        <f t="shared" si="2"/>
        <v>9.6774193548387101E-3</v>
      </c>
      <c r="AS5" s="37">
        <f t="shared" si="3"/>
        <v>-2.9170464904284436E-2</v>
      </c>
      <c r="AT5" s="37">
        <f t="shared" si="4"/>
        <v>2.5761124121779725E-2</v>
      </c>
      <c r="AU5" s="37">
        <f t="shared" si="5"/>
        <v>4.8250904704462173E-3</v>
      </c>
      <c r="AV5" s="37">
        <f t="shared" si="6"/>
        <v>-2.5385764061722219E-2</v>
      </c>
      <c r="AW5" s="37">
        <f t="shared" si="7"/>
        <v>2.6517383618149679E-2</v>
      </c>
      <c r="AX5" s="37">
        <f t="shared" si="8"/>
        <v>-1.0970927043336097E-3</v>
      </c>
      <c r="AY5" s="37">
        <f t="shared" si="9"/>
        <v>0</v>
      </c>
      <c r="AZ5" s="37">
        <f t="shared" si="10"/>
        <v>8.3402835696408937E-4</v>
      </c>
      <c r="BA5" s="37">
        <f t="shared" si="11"/>
        <v>1.5499732763228252E-2</v>
      </c>
      <c r="BB5" s="37">
        <f t="shared" si="12"/>
        <v>2.9779630732578916E-3</v>
      </c>
      <c r="BC5" s="37">
        <f t="shared" si="13"/>
        <v>7.0690592713430287E-3</v>
      </c>
      <c r="BD5" s="37">
        <f t="shared" si="14"/>
        <v>5.7175528873638828E-4</v>
      </c>
    </row>
    <row r="6" spans="2:56" x14ac:dyDescent="0.3">
      <c r="N6" s="17" t="s">
        <v>35</v>
      </c>
      <c r="O6" s="17">
        <v>2022</v>
      </c>
      <c r="P6" s="17" t="s">
        <v>50</v>
      </c>
      <c r="Q6" s="17">
        <v>2297.3000000000002</v>
      </c>
      <c r="R6" s="44">
        <f t="shared" si="0"/>
        <v>7.1901442413082953E-3</v>
      </c>
      <c r="V6" t="s">
        <v>35</v>
      </c>
      <c r="W6">
        <v>2022</v>
      </c>
      <c r="X6" t="s">
        <v>48</v>
      </c>
      <c r="Y6">
        <v>163.5</v>
      </c>
      <c r="Z6">
        <v>209.2</v>
      </c>
      <c r="AA6">
        <v>169.7</v>
      </c>
      <c r="AB6">
        <v>169.7</v>
      </c>
      <c r="AC6">
        <v>188.7</v>
      </c>
      <c r="AD6">
        <v>165.7</v>
      </c>
      <c r="AE6">
        <v>191.8</v>
      </c>
      <c r="AF6">
        <v>169.1</v>
      </c>
      <c r="AG6">
        <v>121.6</v>
      </c>
      <c r="AH6">
        <v>197.3</v>
      </c>
      <c r="AI6">
        <v>169.4</v>
      </c>
      <c r="AJ6">
        <v>187.4</v>
      </c>
      <c r="AK6">
        <v>177.8</v>
      </c>
      <c r="AL6">
        <v>175.3</v>
      </c>
      <c r="AM6">
        <v>2280.9</v>
      </c>
      <c r="AQ6" s="26" t="str">
        <f t="shared" si="1"/>
        <v>August 2022</v>
      </c>
      <c r="AR6" s="39">
        <f t="shared" si="2"/>
        <v>2.4281150159744483E-2</v>
      </c>
      <c r="AS6" s="37">
        <f t="shared" si="3"/>
        <v>-3.0516431924882629E-2</v>
      </c>
      <c r="AT6" s="37">
        <f t="shared" si="4"/>
        <v>-3.4246575342465758E-2</v>
      </c>
      <c r="AU6" s="37">
        <f t="shared" si="5"/>
        <v>9.00360144057623E-3</v>
      </c>
      <c r="AV6" s="37">
        <f t="shared" si="6"/>
        <v>-1.7364657814096043E-2</v>
      </c>
      <c r="AW6" s="37">
        <f t="shared" si="7"/>
        <v>-7.4626865671640818E-3</v>
      </c>
      <c r="AX6" s="37">
        <f t="shared" si="8"/>
        <v>2.5260845689181737E-2</v>
      </c>
      <c r="AY6" s="37">
        <f t="shared" si="9"/>
        <v>1.7650639074862917E-2</v>
      </c>
      <c r="AZ6" s="37">
        <f t="shared" si="10"/>
        <v>7.5000000000000474E-3</v>
      </c>
      <c r="BA6" s="37">
        <f t="shared" si="11"/>
        <v>1.8947368421052602E-2</v>
      </c>
      <c r="BB6" s="37">
        <f t="shared" si="12"/>
        <v>2.3752969121140478E-3</v>
      </c>
      <c r="BC6" s="37">
        <f t="shared" si="13"/>
        <v>5.9395248380130824E-3</v>
      </c>
      <c r="BD6" s="37">
        <f t="shared" si="14"/>
        <v>7.4285714285714935E-3</v>
      </c>
    </row>
    <row r="7" spans="2:56" x14ac:dyDescent="0.3">
      <c r="N7" s="17" t="s">
        <v>35</v>
      </c>
      <c r="O7" s="17">
        <v>2022</v>
      </c>
      <c r="P7" s="17" t="s">
        <v>53</v>
      </c>
      <c r="Q7" s="17">
        <v>2296.8000000000002</v>
      </c>
      <c r="R7" s="44">
        <f t="shared" si="0"/>
        <v>-2.1764680276846731E-4</v>
      </c>
      <c r="V7" t="s">
        <v>35</v>
      </c>
      <c r="W7">
        <v>2022</v>
      </c>
      <c r="X7" t="s">
        <v>50</v>
      </c>
      <c r="Y7">
        <v>165.2</v>
      </c>
      <c r="Z7">
        <v>210.9</v>
      </c>
      <c r="AA7">
        <v>170.9</v>
      </c>
      <c r="AB7">
        <v>170.9</v>
      </c>
      <c r="AC7">
        <v>186.5</v>
      </c>
      <c r="AD7">
        <v>163.80000000000001</v>
      </c>
      <c r="AE7">
        <v>199.7</v>
      </c>
      <c r="AF7">
        <v>169.8</v>
      </c>
      <c r="AG7">
        <v>121.9</v>
      </c>
      <c r="AH7">
        <v>199.9</v>
      </c>
      <c r="AI7">
        <v>169.9</v>
      </c>
      <c r="AJ7">
        <v>188.3</v>
      </c>
      <c r="AK7">
        <v>179.6</v>
      </c>
      <c r="AL7">
        <v>176.7</v>
      </c>
      <c r="AM7">
        <v>2297.3000000000002</v>
      </c>
      <c r="AQ7" s="26" t="str">
        <f t="shared" si="1"/>
        <v>September 2022</v>
      </c>
      <c r="AR7" s="39">
        <f t="shared" si="2"/>
        <v>1.9962570180910719E-2</v>
      </c>
      <c r="AS7" s="37">
        <f t="shared" si="3"/>
        <v>1.3075060532687597E-2</v>
      </c>
      <c r="AT7" s="37">
        <f t="shared" si="4"/>
        <v>2.9550827423167852E-3</v>
      </c>
      <c r="AU7" s="37">
        <f t="shared" si="5"/>
        <v>9.5181439619273899E-3</v>
      </c>
      <c r="AV7" s="37">
        <f t="shared" si="6"/>
        <v>-1.9230769230769319E-2</v>
      </c>
      <c r="AW7" s="37">
        <f t="shared" si="7"/>
        <v>-4.1642567958357531E-2</v>
      </c>
      <c r="AX7" s="37">
        <f t="shared" si="8"/>
        <v>2.7316550615961558E-2</v>
      </c>
      <c r="AY7" s="37">
        <f t="shared" si="9"/>
        <v>1.1363636363636399E-2</v>
      </c>
      <c r="AZ7" s="37">
        <f t="shared" si="10"/>
        <v>5.7899090157153728E-3</v>
      </c>
      <c r="BA7" s="37">
        <f t="shared" si="11"/>
        <v>1.9111570247933973E-2</v>
      </c>
      <c r="BB7" s="37">
        <f t="shared" si="12"/>
        <v>3.5545023696682125E-3</v>
      </c>
      <c r="BC7" s="37">
        <f t="shared" si="13"/>
        <v>5.9044551798174676E-3</v>
      </c>
      <c r="BD7" s="37">
        <f t="shared" si="14"/>
        <v>8.5082246171298923E-3</v>
      </c>
    </row>
    <row r="8" spans="2:56" x14ac:dyDescent="0.3">
      <c r="N8" s="17" t="s">
        <v>35</v>
      </c>
      <c r="O8" s="17">
        <v>2022</v>
      </c>
      <c r="P8" s="17" t="s">
        <v>55</v>
      </c>
      <c r="Q8" s="17">
        <v>2283.4</v>
      </c>
      <c r="R8" s="44">
        <f t="shared" si="0"/>
        <v>-5.8342041100662182E-3</v>
      </c>
      <c r="V8" t="s">
        <v>35</v>
      </c>
      <c r="W8">
        <v>2022</v>
      </c>
      <c r="X8" t="s">
        <v>53</v>
      </c>
      <c r="Y8">
        <v>167.4</v>
      </c>
      <c r="Z8">
        <v>209.4</v>
      </c>
      <c r="AA8">
        <v>181.4</v>
      </c>
      <c r="AB8">
        <v>172.3</v>
      </c>
      <c r="AC8">
        <v>188.9</v>
      </c>
      <c r="AD8">
        <v>160.69999999999999</v>
      </c>
      <c r="AE8">
        <v>183.1</v>
      </c>
      <c r="AF8">
        <v>170.5</v>
      </c>
      <c r="AG8">
        <v>122.1</v>
      </c>
      <c r="AH8">
        <v>202.8</v>
      </c>
      <c r="AI8">
        <v>170.4</v>
      </c>
      <c r="AJ8">
        <v>189.5</v>
      </c>
      <c r="AK8">
        <v>178.3</v>
      </c>
      <c r="AL8">
        <v>176.5</v>
      </c>
      <c r="AM8">
        <v>2296.8000000000002</v>
      </c>
      <c r="AQ8" s="26" t="str">
        <f t="shared" si="1"/>
        <v>October 2022</v>
      </c>
      <c r="AR8" s="39">
        <f t="shared" si="2"/>
        <v>1.0397553516819502E-2</v>
      </c>
      <c r="AS8" s="37">
        <f t="shared" si="3"/>
        <v>8.1261950286807706E-3</v>
      </c>
      <c r="AT8" s="37">
        <f t="shared" si="4"/>
        <v>7.0713022981733478E-3</v>
      </c>
      <c r="AU8" s="37">
        <f t="shared" si="5"/>
        <v>7.0713022981733478E-3</v>
      </c>
      <c r="AV8" s="37">
        <f t="shared" si="6"/>
        <v>-1.1658717541070422E-2</v>
      </c>
      <c r="AW8" s="37">
        <f t="shared" si="7"/>
        <v>-1.1466505733252729E-2</v>
      </c>
      <c r="AX8" s="37">
        <f t="shared" si="8"/>
        <v>4.118873826903012E-2</v>
      </c>
      <c r="AY8" s="37">
        <f t="shared" si="9"/>
        <v>4.1395623891189656E-3</v>
      </c>
      <c r="AZ8" s="37">
        <f t="shared" si="10"/>
        <v>2.4671052631579883E-3</v>
      </c>
      <c r="BA8" s="37">
        <f t="shared" si="11"/>
        <v>1.3177901672579798E-2</v>
      </c>
      <c r="BB8" s="37">
        <f t="shared" si="12"/>
        <v>2.9515938606847697E-3</v>
      </c>
      <c r="BC8" s="37">
        <f t="shared" si="13"/>
        <v>4.8025613660619302E-3</v>
      </c>
      <c r="BD8" s="37">
        <f t="shared" si="14"/>
        <v>1.0123734533183255E-2</v>
      </c>
    </row>
    <row r="9" spans="2:56" x14ac:dyDescent="0.3">
      <c r="N9" s="17" t="s">
        <v>35</v>
      </c>
      <c r="O9" s="17">
        <v>2023</v>
      </c>
      <c r="P9" s="17" t="s">
        <v>31</v>
      </c>
      <c r="Q9" s="17">
        <v>2292.6999999999998</v>
      </c>
      <c r="R9" s="44">
        <f t="shared" si="0"/>
        <v>4.0728737847068961E-3</v>
      </c>
      <c r="V9" t="s">
        <v>35</v>
      </c>
      <c r="W9">
        <v>2022</v>
      </c>
      <c r="X9" t="s">
        <v>55</v>
      </c>
      <c r="Y9">
        <v>169.2</v>
      </c>
      <c r="Z9">
        <v>209</v>
      </c>
      <c r="AA9">
        <v>190.2</v>
      </c>
      <c r="AB9">
        <v>173.6</v>
      </c>
      <c r="AC9">
        <v>188.5</v>
      </c>
      <c r="AD9">
        <v>158</v>
      </c>
      <c r="AE9">
        <v>159.9</v>
      </c>
      <c r="AF9">
        <v>170.8</v>
      </c>
      <c r="AG9">
        <v>121.8</v>
      </c>
      <c r="AH9">
        <v>205.2</v>
      </c>
      <c r="AI9">
        <v>171</v>
      </c>
      <c r="AJ9">
        <v>190.3</v>
      </c>
      <c r="AK9">
        <v>175.9</v>
      </c>
      <c r="AL9">
        <v>175.7</v>
      </c>
      <c r="AM9">
        <v>2283.4</v>
      </c>
      <c r="AQ9" s="26" t="str">
        <f t="shared" si="1"/>
        <v>November 2022</v>
      </c>
      <c r="AR9" s="39">
        <f t="shared" si="2"/>
        <v>1.3317191283293082E-2</v>
      </c>
      <c r="AS9" s="37">
        <f t="shared" si="3"/>
        <v>-7.1123755334281651E-3</v>
      </c>
      <c r="AT9" s="37">
        <f t="shared" si="4"/>
        <v>6.1439438267992974E-2</v>
      </c>
      <c r="AU9" s="37">
        <f t="shared" si="5"/>
        <v>8.1919251023990971E-3</v>
      </c>
      <c r="AV9" s="37">
        <f t="shared" si="6"/>
        <v>1.286863270777483E-2</v>
      </c>
      <c r="AW9" s="37">
        <f t="shared" si="7"/>
        <v>-1.8925518925519063E-2</v>
      </c>
      <c r="AX9" s="37">
        <f t="shared" si="8"/>
        <v>-8.3124687030545791E-2</v>
      </c>
      <c r="AY9" s="37">
        <f t="shared" si="9"/>
        <v>4.1224970553591792E-3</v>
      </c>
      <c r="AZ9" s="37">
        <f t="shared" si="10"/>
        <v>1.640689089417462E-3</v>
      </c>
      <c r="BA9" s="37">
        <f t="shared" si="11"/>
        <v>1.4507253626813434E-2</v>
      </c>
      <c r="BB9" s="37">
        <f t="shared" si="12"/>
        <v>2.942907592701589E-3</v>
      </c>
      <c r="BC9" s="37">
        <f t="shared" si="13"/>
        <v>6.3728093467869812E-3</v>
      </c>
      <c r="BD9" s="37">
        <f t="shared" si="14"/>
        <v>-7.2383073496658295E-3</v>
      </c>
    </row>
    <row r="10" spans="2:56" x14ac:dyDescent="0.3">
      <c r="N10" s="17" t="s">
        <v>35</v>
      </c>
      <c r="O10" s="17">
        <v>2023</v>
      </c>
      <c r="P10" s="17" t="s">
        <v>36</v>
      </c>
      <c r="Q10" s="17">
        <v>2279.1</v>
      </c>
      <c r="R10" s="44">
        <f t="shared" si="0"/>
        <v>-5.9318707201116193E-3</v>
      </c>
      <c r="V10" t="s">
        <v>35</v>
      </c>
      <c r="W10">
        <v>2023</v>
      </c>
      <c r="X10" t="s">
        <v>31</v>
      </c>
      <c r="Y10">
        <v>173.8</v>
      </c>
      <c r="Z10">
        <v>210.7</v>
      </c>
      <c r="AA10">
        <v>194.5</v>
      </c>
      <c r="AB10">
        <v>174.6</v>
      </c>
      <c r="AC10">
        <v>187.2</v>
      </c>
      <c r="AD10">
        <v>158.30000000000001</v>
      </c>
      <c r="AE10">
        <v>153.9</v>
      </c>
      <c r="AF10">
        <v>170.9</v>
      </c>
      <c r="AG10">
        <v>121.1</v>
      </c>
      <c r="AH10">
        <v>208.4</v>
      </c>
      <c r="AI10">
        <v>171.4</v>
      </c>
      <c r="AJ10">
        <v>191.2</v>
      </c>
      <c r="AK10">
        <v>176.7</v>
      </c>
      <c r="AL10">
        <v>176.5</v>
      </c>
      <c r="AM10">
        <v>2292.6999999999998</v>
      </c>
      <c r="AQ10" s="26" t="str">
        <f t="shared" si="1"/>
        <v>December 2022</v>
      </c>
      <c r="AR10" s="39">
        <f t="shared" si="2"/>
        <v>1.0752688172042909E-2</v>
      </c>
      <c r="AS10" s="37">
        <f t="shared" si="3"/>
        <v>-1.9102196752626823E-3</v>
      </c>
      <c r="AT10" s="37">
        <f t="shared" si="4"/>
        <v>4.8511576626240255E-2</v>
      </c>
      <c r="AU10" s="37">
        <f t="shared" si="5"/>
        <v>7.5449796865930518E-3</v>
      </c>
      <c r="AV10" s="37">
        <f t="shared" si="6"/>
        <v>-2.1175224986765785E-3</v>
      </c>
      <c r="AW10" s="37">
        <f t="shared" si="7"/>
        <v>-1.6801493466085806E-2</v>
      </c>
      <c r="AX10" s="37">
        <f t="shared" si="8"/>
        <v>-0.12670671764063349</v>
      </c>
      <c r="AY10" s="37">
        <f t="shared" si="9"/>
        <v>1.7595307917889231E-3</v>
      </c>
      <c r="AZ10" s="37">
        <f t="shared" si="10"/>
        <v>-2.457002457002434E-3</v>
      </c>
      <c r="BA10" s="37">
        <f t="shared" si="11"/>
        <v>1.1834319526627106E-2</v>
      </c>
      <c r="BB10" s="37">
        <f t="shared" si="12"/>
        <v>3.521126760563347E-3</v>
      </c>
      <c r="BC10" s="37">
        <f t="shared" si="13"/>
        <v>4.2216358839050729E-3</v>
      </c>
      <c r="BD10" s="37">
        <f t="shared" si="14"/>
        <v>-1.3460459899046581E-2</v>
      </c>
    </row>
    <row r="11" spans="2:56" x14ac:dyDescent="0.3">
      <c r="N11" s="17" t="s">
        <v>35</v>
      </c>
      <c r="O11" s="17">
        <v>2023</v>
      </c>
      <c r="P11" s="17" t="s">
        <v>38</v>
      </c>
      <c r="Q11" s="17">
        <v>2279.1999999999998</v>
      </c>
      <c r="R11" s="44">
        <f t="shared" si="0"/>
        <v>4.3876968978943027E-5</v>
      </c>
      <c r="V11" t="s">
        <v>35</v>
      </c>
      <c r="W11">
        <v>2023</v>
      </c>
      <c r="X11" t="s">
        <v>36</v>
      </c>
      <c r="Y11">
        <v>174.4</v>
      </c>
      <c r="Z11">
        <v>207.7</v>
      </c>
      <c r="AA11">
        <v>175.2</v>
      </c>
      <c r="AB11">
        <v>177.3</v>
      </c>
      <c r="AC11">
        <v>179.3</v>
      </c>
      <c r="AD11">
        <v>169.5</v>
      </c>
      <c r="AE11">
        <v>152.69999999999999</v>
      </c>
      <c r="AF11">
        <v>171</v>
      </c>
      <c r="AG11">
        <v>120</v>
      </c>
      <c r="AH11">
        <v>209.7</v>
      </c>
      <c r="AI11">
        <v>172.3</v>
      </c>
      <c r="AJ11">
        <v>193</v>
      </c>
      <c r="AK11">
        <v>177</v>
      </c>
      <c r="AL11">
        <v>177.2</v>
      </c>
      <c r="AM11">
        <v>2279.1</v>
      </c>
      <c r="AQ11" s="26" t="str">
        <f t="shared" si="1"/>
        <v>January 2023</v>
      </c>
      <c r="AR11" s="39">
        <f t="shared" si="2"/>
        <v>2.7186761229314557E-2</v>
      </c>
      <c r="AS11" s="37">
        <f t="shared" si="3"/>
        <v>8.1339712918659744E-3</v>
      </c>
      <c r="AT11" s="37">
        <f t="shared" si="4"/>
        <v>2.2607781282860208E-2</v>
      </c>
      <c r="AU11" s="37">
        <f t="shared" si="5"/>
        <v>5.7603686635944703E-3</v>
      </c>
      <c r="AV11" s="37">
        <f t="shared" si="6"/>
        <v>-6.8965517241379917E-3</v>
      </c>
      <c r="AW11" s="37">
        <f t="shared" si="7"/>
        <v>1.8987341772152618E-3</v>
      </c>
      <c r="AX11" s="37">
        <f t="shared" si="8"/>
        <v>-3.7523452157598496E-2</v>
      </c>
      <c r="AY11" s="37">
        <f t="shared" si="9"/>
        <v>5.854800936767817E-4</v>
      </c>
      <c r="AZ11" s="37">
        <f t="shared" si="10"/>
        <v>-5.7471264367816325E-3</v>
      </c>
      <c r="BA11" s="37">
        <f t="shared" si="11"/>
        <v>1.5594541910331468E-2</v>
      </c>
      <c r="BB11" s="37">
        <f t="shared" si="12"/>
        <v>2.339181286549741E-3</v>
      </c>
      <c r="BC11" s="37">
        <f t="shared" si="13"/>
        <v>4.7293746715710832E-3</v>
      </c>
      <c r="BD11" s="37">
        <f t="shared" si="14"/>
        <v>4.5480386583284984E-3</v>
      </c>
    </row>
    <row r="12" spans="2:56" x14ac:dyDescent="0.3">
      <c r="N12" s="17" t="s">
        <v>35</v>
      </c>
      <c r="O12" s="17">
        <v>2023</v>
      </c>
      <c r="P12" s="17" t="s">
        <v>39</v>
      </c>
      <c r="Q12" s="17">
        <v>2289.6000000000004</v>
      </c>
      <c r="R12" s="44">
        <f t="shared" si="0"/>
        <v>4.5630045630048032E-3</v>
      </c>
      <c r="V12" t="s">
        <v>35</v>
      </c>
      <c r="W12">
        <v>2023</v>
      </c>
      <c r="X12" t="s">
        <v>38</v>
      </c>
      <c r="Y12">
        <v>174.4</v>
      </c>
      <c r="Z12">
        <v>207.7</v>
      </c>
      <c r="AA12">
        <v>175.2</v>
      </c>
      <c r="AB12">
        <v>177.3</v>
      </c>
      <c r="AC12">
        <v>179.2</v>
      </c>
      <c r="AD12">
        <v>169.5</v>
      </c>
      <c r="AE12">
        <v>152.80000000000001</v>
      </c>
      <c r="AF12">
        <v>171.1</v>
      </c>
      <c r="AG12">
        <v>120</v>
      </c>
      <c r="AH12">
        <v>209.7</v>
      </c>
      <c r="AI12">
        <v>172.3</v>
      </c>
      <c r="AJ12">
        <v>193</v>
      </c>
      <c r="AK12">
        <v>177</v>
      </c>
      <c r="AL12">
        <v>177.2</v>
      </c>
      <c r="AM12">
        <v>2279.1999999999998</v>
      </c>
      <c r="AQ12" s="26" t="str">
        <f t="shared" si="1"/>
        <v>February 2023</v>
      </c>
      <c r="AR12" s="39">
        <f t="shared" si="2"/>
        <v>3.4522439585730398E-3</v>
      </c>
      <c r="AS12" s="37">
        <f t="shared" si="3"/>
        <v>-1.423825344091125E-2</v>
      </c>
      <c r="AT12" s="37">
        <f t="shared" si="4"/>
        <v>-9.9228791773778982E-2</v>
      </c>
      <c r="AU12" s="37">
        <f t="shared" si="5"/>
        <v>1.5463917525773294E-2</v>
      </c>
      <c r="AV12" s="37">
        <f t="shared" si="6"/>
        <v>-4.2200854700854579E-2</v>
      </c>
      <c r="AW12" s="37">
        <f t="shared" si="7"/>
        <v>7.0751737207833149E-2</v>
      </c>
      <c r="AX12" s="37">
        <f t="shared" si="8"/>
        <v>-7.7972709551658026E-3</v>
      </c>
      <c r="AY12" s="37">
        <f t="shared" si="9"/>
        <v>5.8513750731418557E-4</v>
      </c>
      <c r="AZ12" s="37">
        <f t="shared" si="10"/>
        <v>-9.0834021469859156E-3</v>
      </c>
      <c r="BA12" s="37">
        <f t="shared" si="11"/>
        <v>6.2380038387715112E-3</v>
      </c>
      <c r="BB12" s="37">
        <f t="shared" si="12"/>
        <v>5.2508751458576761E-3</v>
      </c>
      <c r="BC12" s="37">
        <f t="shared" si="13"/>
        <v>9.4142259414226534E-3</v>
      </c>
      <c r="BD12" s="37">
        <f t="shared" si="14"/>
        <v>1.6977928692700134E-3</v>
      </c>
    </row>
    <row r="13" spans="2:56" x14ac:dyDescent="0.3">
      <c r="N13" s="17" t="s">
        <v>35</v>
      </c>
      <c r="O13" s="17">
        <v>2023</v>
      </c>
      <c r="P13" s="17" t="s">
        <v>41</v>
      </c>
      <c r="Q13" s="17">
        <v>2306.9</v>
      </c>
      <c r="R13" s="44">
        <f t="shared" si="0"/>
        <v>7.5559049615652185E-3</v>
      </c>
      <c r="V13" t="s">
        <v>35</v>
      </c>
      <c r="W13">
        <v>2023</v>
      </c>
      <c r="X13" t="s">
        <v>39</v>
      </c>
      <c r="Y13">
        <v>173.8</v>
      </c>
      <c r="Z13">
        <v>209.3</v>
      </c>
      <c r="AA13">
        <v>169.6</v>
      </c>
      <c r="AB13">
        <v>178.4</v>
      </c>
      <c r="AC13">
        <v>174.9</v>
      </c>
      <c r="AD13">
        <v>176.3</v>
      </c>
      <c r="AE13">
        <v>155.4</v>
      </c>
      <c r="AF13">
        <v>173.4</v>
      </c>
      <c r="AG13">
        <v>121.3</v>
      </c>
      <c r="AH13">
        <v>212.9</v>
      </c>
      <c r="AI13">
        <v>172.9</v>
      </c>
      <c r="AJ13">
        <v>193.5</v>
      </c>
      <c r="AK13">
        <v>177.9</v>
      </c>
      <c r="AL13">
        <v>178.1</v>
      </c>
      <c r="AM13">
        <v>2289.6000000000004</v>
      </c>
      <c r="AQ13" s="26" t="str">
        <f t="shared" si="1"/>
        <v>March 2023</v>
      </c>
      <c r="AR13" s="39">
        <f t="shared" si="2"/>
        <v>0</v>
      </c>
      <c r="AS13" s="37">
        <f t="shared" si="3"/>
        <v>0</v>
      </c>
      <c r="AT13" s="37">
        <f t="shared" si="4"/>
        <v>0</v>
      </c>
      <c r="AU13" s="37">
        <f t="shared" si="5"/>
        <v>0</v>
      </c>
      <c r="AV13" s="37">
        <f t="shared" si="6"/>
        <v>-5.5772448410497898E-4</v>
      </c>
      <c r="AW13" s="37">
        <f t="shared" si="7"/>
        <v>0</v>
      </c>
      <c r="AX13" s="37">
        <f t="shared" si="8"/>
        <v>6.5487884741337755E-4</v>
      </c>
      <c r="AY13" s="37">
        <f t="shared" si="9"/>
        <v>5.8479532163739363E-4</v>
      </c>
      <c r="AZ13" s="37">
        <f t="shared" si="10"/>
        <v>0</v>
      </c>
      <c r="BA13" s="37">
        <f t="shared" si="11"/>
        <v>0</v>
      </c>
      <c r="BB13" s="37">
        <f t="shared" si="12"/>
        <v>0</v>
      </c>
      <c r="BC13" s="37">
        <f t="shared" si="13"/>
        <v>0</v>
      </c>
      <c r="BD13" s="37">
        <f t="shared" si="14"/>
        <v>0</v>
      </c>
    </row>
    <row r="14" spans="2:56" x14ac:dyDescent="0.3">
      <c r="V14" t="s">
        <v>35</v>
      </c>
      <c r="W14">
        <v>2023</v>
      </c>
      <c r="X14" t="s">
        <v>41</v>
      </c>
      <c r="Y14">
        <v>173.7</v>
      </c>
      <c r="Z14">
        <v>214.3</v>
      </c>
      <c r="AA14">
        <v>173.2</v>
      </c>
      <c r="AB14">
        <v>179.5</v>
      </c>
      <c r="AC14">
        <v>170</v>
      </c>
      <c r="AD14">
        <v>172.2</v>
      </c>
      <c r="AE14">
        <v>161</v>
      </c>
      <c r="AF14">
        <v>175.6</v>
      </c>
      <c r="AG14">
        <v>122.7</v>
      </c>
      <c r="AH14">
        <v>218</v>
      </c>
      <c r="AI14">
        <v>173.4</v>
      </c>
      <c r="AJ14">
        <v>194.2</v>
      </c>
      <c r="AK14">
        <v>179.1</v>
      </c>
      <c r="AL14">
        <v>179.1</v>
      </c>
      <c r="AM14">
        <v>2306.9</v>
      </c>
      <c r="AQ14" s="26" t="str">
        <f t="shared" si="1"/>
        <v>April 2023</v>
      </c>
      <c r="AR14" s="39">
        <f t="shared" si="2"/>
        <v>-3.4403669724770315E-3</v>
      </c>
      <c r="AS14" s="37">
        <f t="shared" si="3"/>
        <v>7.7034183919115207E-3</v>
      </c>
      <c r="AT14" s="37">
        <f t="shared" si="4"/>
        <v>-3.1963470319634674E-2</v>
      </c>
      <c r="AU14" s="37">
        <f t="shared" si="5"/>
        <v>6.2041737168640398E-3</v>
      </c>
      <c r="AV14" s="37">
        <f t="shared" si="6"/>
        <v>-2.3995535714285622E-2</v>
      </c>
      <c r="AW14" s="37">
        <f t="shared" si="7"/>
        <v>4.0117994100295054E-2</v>
      </c>
      <c r="AX14" s="37">
        <f t="shared" si="8"/>
        <v>1.7015706806282685E-2</v>
      </c>
      <c r="AY14" s="37">
        <f t="shared" si="9"/>
        <v>1.3442431326709593E-2</v>
      </c>
      <c r="AZ14" s="37">
        <f t="shared" si="10"/>
        <v>1.0833333333333309E-2</v>
      </c>
      <c r="BA14" s="37">
        <f t="shared" si="11"/>
        <v>1.5259895088221351E-2</v>
      </c>
      <c r="BB14" s="37">
        <f t="shared" si="12"/>
        <v>3.4822983168891135E-3</v>
      </c>
      <c r="BC14" s="37">
        <f t="shared" si="13"/>
        <v>2.5906735751295338E-3</v>
      </c>
      <c r="BD14" s="37">
        <f t="shared" si="14"/>
        <v>5.0847457627118961E-3</v>
      </c>
    </row>
    <row r="15" spans="2:56" x14ac:dyDescent="0.3">
      <c r="B15" t="s">
        <v>275</v>
      </c>
      <c r="M15" s="45">
        <v>44682</v>
      </c>
      <c r="N15" s="17">
        <v>2238.9000000000005</v>
      </c>
      <c r="V15" s="57" t="s">
        <v>287</v>
      </c>
      <c r="W15" s="57"/>
      <c r="X15" s="57"/>
      <c r="Y15" s="47">
        <f>(Y14-Y3)/Y3</f>
        <v>0.1206451612903225</v>
      </c>
      <c r="Z15" s="47">
        <f>(Z14-Z3)/Z3</f>
        <v>-2.3245214220601614E-2</v>
      </c>
      <c r="AA15" s="47">
        <f t="shared" ref="AA15:AM15" si="15">(AA14-AA3)/AA3</f>
        <v>1.4051522248243426E-2</v>
      </c>
      <c r="AB15" s="47">
        <f>(AB14-AB3)/AB3</f>
        <v>8.2629674306393175E-2</v>
      </c>
      <c r="AC15" s="47">
        <f t="shared" si="15"/>
        <v>-0.15380786460925835</v>
      </c>
      <c r="AD15" s="47">
        <f t="shared" si="15"/>
        <v>1.4731879787860933E-2</v>
      </c>
      <c r="AE15" s="47">
        <f t="shared" si="15"/>
        <v>-0.11684037301151953</v>
      </c>
      <c r="AF15" s="47">
        <f t="shared" si="15"/>
        <v>6.8776628119293873E-2</v>
      </c>
      <c r="AG15" s="47">
        <f t="shared" si="15"/>
        <v>2.3352793994995805E-2</v>
      </c>
      <c r="AH15" s="47">
        <f t="shared" si="15"/>
        <v>0.16515232495991453</v>
      </c>
      <c r="AI15" s="47">
        <f t="shared" si="15"/>
        <v>3.2757593805836809E-2</v>
      </c>
      <c r="AJ15" s="47">
        <f t="shared" si="15"/>
        <v>5.6008700380641561E-2</v>
      </c>
      <c r="AK15" s="47">
        <f t="shared" si="15"/>
        <v>2.4013722126929607E-2</v>
      </c>
      <c r="AL15" s="47">
        <f t="shared" si="15"/>
        <v>3.7659327925840091E-2</v>
      </c>
      <c r="AM15" s="47">
        <f t="shared" si="15"/>
        <v>1.9894778725849948E-2</v>
      </c>
      <c r="AQ15" s="26" t="str">
        <f t="shared" si="1"/>
        <v>May 2023</v>
      </c>
      <c r="AR15" s="39">
        <f t="shared" si="2"/>
        <v>-5.7537399309564284E-4</v>
      </c>
      <c r="AS15" s="37">
        <f t="shared" si="3"/>
        <v>2.3889154323936932E-2</v>
      </c>
      <c r="AT15" s="37">
        <f t="shared" si="4"/>
        <v>2.122641509433959E-2</v>
      </c>
      <c r="AU15" s="37">
        <f t="shared" si="5"/>
        <v>6.1659192825111791E-3</v>
      </c>
      <c r="AV15" s="37">
        <f t="shared" si="6"/>
        <v>-2.801600914808465E-2</v>
      </c>
      <c r="AW15" s="37">
        <f t="shared" si="7"/>
        <v>-2.32558139534885E-2</v>
      </c>
      <c r="AX15" s="37">
        <f t="shared" si="8"/>
        <v>3.6036036036036001E-2</v>
      </c>
      <c r="AY15" s="37">
        <f t="shared" si="9"/>
        <v>1.2687427912341341E-2</v>
      </c>
      <c r="AZ15" s="37">
        <f t="shared" si="10"/>
        <v>1.1541632316570533E-2</v>
      </c>
      <c r="BA15" s="37">
        <f t="shared" si="11"/>
        <v>2.3954908407703118E-2</v>
      </c>
      <c r="BB15" s="37">
        <f t="shared" si="12"/>
        <v>2.8918449971081549E-3</v>
      </c>
      <c r="BC15" s="37">
        <f t="shared" si="13"/>
        <v>3.6175710594314658E-3</v>
      </c>
      <c r="BD15" s="37">
        <f t="shared" si="14"/>
        <v>6.7453625632377095E-3</v>
      </c>
    </row>
    <row r="16" spans="2:56" x14ac:dyDescent="0.3">
      <c r="B16" t="s">
        <v>280</v>
      </c>
    </row>
    <row r="17" spans="2:36" x14ac:dyDescent="0.3">
      <c r="B17" t="s">
        <v>253</v>
      </c>
    </row>
    <row r="18" spans="2:36" x14ac:dyDescent="0.3">
      <c r="B18" t="s">
        <v>283</v>
      </c>
      <c r="AJ18" s="37"/>
    </row>
    <row r="19" spans="2:36" x14ac:dyDescent="0.3">
      <c r="B19" t="s">
        <v>284</v>
      </c>
      <c r="AJ19" s="37"/>
    </row>
    <row r="20" spans="2:36" x14ac:dyDescent="0.3">
      <c r="B20" t="s">
        <v>285</v>
      </c>
      <c r="AJ20" s="37"/>
    </row>
    <row r="21" spans="2:36" x14ac:dyDescent="0.3">
      <c r="B21" t="s">
        <v>288</v>
      </c>
      <c r="AJ21" s="37"/>
    </row>
    <row r="22" spans="2:36" x14ac:dyDescent="0.3">
      <c r="B22" t="s">
        <v>289</v>
      </c>
      <c r="AJ22" s="37"/>
    </row>
    <row r="23" spans="2:36" x14ac:dyDescent="0.3">
      <c r="AJ23" s="37"/>
    </row>
    <row r="24" spans="2:36" x14ac:dyDescent="0.3">
      <c r="AJ24" s="37"/>
    </row>
    <row r="25" spans="2:36" x14ac:dyDescent="0.3">
      <c r="AJ25" s="37"/>
    </row>
    <row r="26" spans="2:36" x14ac:dyDescent="0.3">
      <c r="AJ26" s="37"/>
    </row>
    <row r="27" spans="2:36" x14ac:dyDescent="0.3">
      <c r="AJ27" s="37"/>
    </row>
    <row r="28" spans="2:36" x14ac:dyDescent="0.3">
      <c r="AJ28" s="37"/>
    </row>
    <row r="29" spans="2:36" x14ac:dyDescent="0.3">
      <c r="AJ29" s="37"/>
    </row>
  </sheetData>
  <mergeCells count="1">
    <mergeCell ref="V15:X15"/>
  </mergeCells>
  <conditionalFormatting sqref="R2:R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M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1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BD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0AA5-CBC7-4680-BA41-34D8A92E362C}">
  <dimension ref="B1:AY48"/>
  <sheetViews>
    <sheetView tabSelected="1" zoomScaleNormal="100" workbookViewId="0">
      <selection activeCell="BE24" sqref="BE24"/>
    </sheetView>
  </sheetViews>
  <sheetFormatPr defaultRowHeight="14.4" x14ac:dyDescent="0.3"/>
  <cols>
    <col min="51" max="51" width="11.21875" bestFit="1" customWidth="1"/>
  </cols>
  <sheetData>
    <row r="1" spans="2:51" x14ac:dyDescent="0.3"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52" t="s">
        <v>23</v>
      </c>
      <c r="AK1" s="52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52" t="s">
        <v>279</v>
      </c>
      <c r="AR1" s="52" t="s">
        <v>219</v>
      </c>
      <c r="AS1" s="1"/>
      <c r="AU1" s="58" t="s">
        <v>215</v>
      </c>
      <c r="AV1" s="58"/>
      <c r="AW1" s="58"/>
      <c r="AX1" s="58"/>
      <c r="AY1" s="58"/>
    </row>
    <row r="2" spans="2:51" x14ac:dyDescent="0.3">
      <c r="M2" s="5" t="s">
        <v>35</v>
      </c>
      <c r="N2" s="5">
        <v>2018</v>
      </c>
      <c r="O2" s="5" t="s">
        <v>38</v>
      </c>
      <c r="P2" s="5">
        <v>136.19999999999999</v>
      </c>
      <c r="Q2" s="5">
        <v>143.6</v>
      </c>
      <c r="R2" s="5">
        <v>138.30000000000001</v>
      </c>
      <c r="S2" s="5">
        <v>141.19999999999999</v>
      </c>
      <c r="T2" s="5">
        <v>120.7</v>
      </c>
      <c r="U2" s="5">
        <v>146.19999999999999</v>
      </c>
      <c r="V2" s="5">
        <v>134.6</v>
      </c>
      <c r="W2" s="5">
        <v>124.6</v>
      </c>
      <c r="X2" s="5">
        <v>116.1</v>
      </c>
      <c r="Y2" s="5">
        <v>137.80000000000001</v>
      </c>
      <c r="Z2" s="5">
        <v>129.1</v>
      </c>
      <c r="AA2" s="5">
        <v>150.4</v>
      </c>
      <c r="AB2" s="5">
        <v>137.19999999999999</v>
      </c>
      <c r="AC2" s="5">
        <v>156.30000000000001</v>
      </c>
      <c r="AD2" s="5">
        <v>144.30000000000001</v>
      </c>
      <c r="AE2" s="5">
        <v>136.19999999999999</v>
      </c>
      <c r="AF2" s="5">
        <v>143.1</v>
      </c>
      <c r="AG2" s="5" t="s">
        <v>106</v>
      </c>
      <c r="AH2" s="5">
        <v>136.5</v>
      </c>
      <c r="AI2" s="5">
        <v>135.6</v>
      </c>
      <c r="AJ2" s="5">
        <v>134.30000000000001</v>
      </c>
      <c r="AK2" s="5">
        <v>121</v>
      </c>
      <c r="AL2" s="5">
        <v>130.4</v>
      </c>
      <c r="AM2" s="5">
        <v>139.80000000000001</v>
      </c>
      <c r="AN2" s="5">
        <v>128.19999999999999</v>
      </c>
      <c r="AO2" s="5">
        <v>130.30000000000001</v>
      </c>
      <c r="AP2" s="5">
        <v>136.5</v>
      </c>
      <c r="AQ2" s="5">
        <v>1756</v>
      </c>
      <c r="AR2" s="5">
        <f t="shared" ref="AR2:AR48" si="0">SUM(AI2,AG2)</f>
        <v>135.6</v>
      </c>
      <c r="AU2" t="s">
        <v>297</v>
      </c>
    </row>
    <row r="3" spans="2:51" x14ac:dyDescent="0.3">
      <c r="B3" t="s">
        <v>286</v>
      </c>
      <c r="M3" t="s">
        <v>35</v>
      </c>
      <c r="N3">
        <v>2018</v>
      </c>
      <c r="O3" t="s">
        <v>39</v>
      </c>
      <c r="P3">
        <v>136.4</v>
      </c>
      <c r="Q3">
        <v>144.4</v>
      </c>
      <c r="R3">
        <v>133.9</v>
      </c>
      <c r="S3">
        <v>141.6</v>
      </c>
      <c r="T3">
        <v>121</v>
      </c>
      <c r="U3">
        <v>153.5</v>
      </c>
      <c r="V3">
        <v>132.6</v>
      </c>
      <c r="W3">
        <v>123.5</v>
      </c>
      <c r="X3">
        <v>113.7</v>
      </c>
      <c r="Y3">
        <v>138.19999999999999</v>
      </c>
      <c r="Z3">
        <v>129.6</v>
      </c>
      <c r="AA3">
        <v>151.19999999999999</v>
      </c>
      <c r="AB3">
        <v>137.5</v>
      </c>
      <c r="AC3">
        <v>156.9</v>
      </c>
      <c r="AD3">
        <v>145.30000000000001</v>
      </c>
      <c r="AE3">
        <v>136.69999999999999</v>
      </c>
      <c r="AF3">
        <v>144</v>
      </c>
      <c r="AG3" t="s">
        <v>107</v>
      </c>
      <c r="AH3">
        <v>136.5</v>
      </c>
      <c r="AI3">
        <v>136.6</v>
      </c>
      <c r="AJ3" s="49">
        <v>135.19999999999999</v>
      </c>
      <c r="AK3" s="49">
        <v>121.9</v>
      </c>
      <c r="AL3">
        <v>131.30000000000001</v>
      </c>
      <c r="AM3">
        <v>141.4</v>
      </c>
      <c r="AN3">
        <v>129.19999999999999</v>
      </c>
      <c r="AO3">
        <v>131.30000000000001</v>
      </c>
      <c r="AP3">
        <v>137.1</v>
      </c>
      <c r="AQ3" s="49">
        <v>1757.1000000000001</v>
      </c>
      <c r="AR3" s="49">
        <f t="shared" si="0"/>
        <v>136.6</v>
      </c>
      <c r="AU3" s="17"/>
      <c r="AV3" s="54" t="s">
        <v>220</v>
      </c>
      <c r="AW3" s="54" t="s">
        <v>217</v>
      </c>
      <c r="AX3" s="54" t="s">
        <v>219</v>
      </c>
      <c r="AY3" s="54" t="s">
        <v>237</v>
      </c>
    </row>
    <row r="4" spans="2:51" x14ac:dyDescent="0.3">
      <c r="M4" t="s">
        <v>35</v>
      </c>
      <c r="N4">
        <v>2018</v>
      </c>
      <c r="O4" t="s">
        <v>41</v>
      </c>
      <c r="P4">
        <v>136.6</v>
      </c>
      <c r="Q4">
        <v>146.6</v>
      </c>
      <c r="R4">
        <v>133.6</v>
      </c>
      <c r="S4">
        <v>142.1</v>
      </c>
      <c r="T4">
        <v>121</v>
      </c>
      <c r="U4">
        <v>154.6</v>
      </c>
      <c r="V4">
        <v>135.6</v>
      </c>
      <c r="W4">
        <v>122.3</v>
      </c>
      <c r="X4">
        <v>109.6</v>
      </c>
      <c r="Y4">
        <v>138.1</v>
      </c>
      <c r="Z4">
        <v>129.9</v>
      </c>
      <c r="AA4">
        <v>151.69999999999999</v>
      </c>
      <c r="AB4">
        <v>138.1</v>
      </c>
      <c r="AC4">
        <v>157.9</v>
      </c>
      <c r="AD4">
        <v>146</v>
      </c>
      <c r="AE4">
        <v>137.4</v>
      </c>
      <c r="AF4">
        <v>144.69999999999999</v>
      </c>
      <c r="AG4" t="s">
        <v>108</v>
      </c>
      <c r="AH4">
        <v>136.9</v>
      </c>
      <c r="AI4">
        <v>137.4</v>
      </c>
      <c r="AJ4" s="49">
        <v>136</v>
      </c>
      <c r="AK4" s="49">
        <v>122.9</v>
      </c>
      <c r="AL4">
        <v>131.80000000000001</v>
      </c>
      <c r="AM4">
        <v>142.1</v>
      </c>
      <c r="AN4">
        <v>129.9</v>
      </c>
      <c r="AO4">
        <v>132.1</v>
      </c>
      <c r="AP4">
        <v>137.80000000000001</v>
      </c>
      <c r="AQ4" s="49">
        <v>1759.8</v>
      </c>
      <c r="AR4" s="49">
        <f t="shared" si="0"/>
        <v>137.4</v>
      </c>
      <c r="AU4" s="17">
        <v>2018</v>
      </c>
      <c r="AV4" s="39">
        <f>(AJ13-AJ2)/AJ2</f>
        <v>8.4139985107967108E-2</v>
      </c>
      <c r="AW4" s="39">
        <f>(AQ13-AQ2)/AQ2</f>
        <v>6.2642369020495957E-4</v>
      </c>
      <c r="AX4" s="39">
        <f>(AR13-AR2)/AR2</f>
        <v>5.9734513274336244E-2</v>
      </c>
      <c r="AY4" s="39">
        <f>(AK13-AK2)/AK2</f>
        <v>2.3966942148760377E-2</v>
      </c>
    </row>
    <row r="5" spans="2:51" x14ac:dyDescent="0.3">
      <c r="M5" t="s">
        <v>35</v>
      </c>
      <c r="N5">
        <v>2018</v>
      </c>
      <c r="O5" t="s">
        <v>42</v>
      </c>
      <c r="P5">
        <v>136.9</v>
      </c>
      <c r="Q5">
        <v>148.69999999999999</v>
      </c>
      <c r="R5">
        <v>135.6</v>
      </c>
      <c r="S5">
        <v>142.30000000000001</v>
      </c>
      <c r="T5">
        <v>121.3</v>
      </c>
      <c r="U5">
        <v>153.19999999999999</v>
      </c>
      <c r="V5">
        <v>143.69999999999999</v>
      </c>
      <c r="W5">
        <v>121.4</v>
      </c>
      <c r="X5">
        <v>111.1</v>
      </c>
      <c r="Y5">
        <v>138.4</v>
      </c>
      <c r="Z5">
        <v>130.30000000000001</v>
      </c>
      <c r="AA5">
        <v>151.80000000000001</v>
      </c>
      <c r="AB5">
        <v>139.4</v>
      </c>
      <c r="AC5">
        <v>158.30000000000001</v>
      </c>
      <c r="AD5">
        <v>146.4</v>
      </c>
      <c r="AE5">
        <v>138.1</v>
      </c>
      <c r="AF5">
        <v>145.19999999999999</v>
      </c>
      <c r="AG5" t="s">
        <v>109</v>
      </c>
      <c r="AH5">
        <v>138.1</v>
      </c>
      <c r="AI5">
        <v>137.9</v>
      </c>
      <c r="AJ5" s="49">
        <v>136.19999999999999</v>
      </c>
      <c r="AK5" s="49">
        <v>123.7</v>
      </c>
      <c r="AL5">
        <v>132.6</v>
      </c>
      <c r="AM5">
        <v>142.80000000000001</v>
      </c>
      <c r="AN5">
        <v>130.1</v>
      </c>
      <c r="AO5">
        <v>132.6</v>
      </c>
      <c r="AP5">
        <v>138.5</v>
      </c>
      <c r="AQ5" s="49">
        <v>1774.1000000000001</v>
      </c>
      <c r="AR5" s="49">
        <f t="shared" si="0"/>
        <v>137.9</v>
      </c>
      <c r="AU5" s="17">
        <v>2019</v>
      </c>
      <c r="AV5" s="39">
        <f>(AJ24-AJ14)/AJ14</f>
        <v>3.761969904240766E-2</v>
      </c>
      <c r="AW5" s="39">
        <f>(AQ24-AQ14)/AQ14</f>
        <v>8.4349651143002899E-2</v>
      </c>
      <c r="AX5" s="39">
        <f>(AR24-AR14)/AR14</f>
        <v>1.8080667593880349E-2</v>
      </c>
      <c r="AY5" s="39">
        <f>(AK24-AK14)/AK14</f>
        <v>4.5746388443017795E-2</v>
      </c>
    </row>
    <row r="6" spans="2:51" x14ac:dyDescent="0.3">
      <c r="M6" t="s">
        <v>35</v>
      </c>
      <c r="N6">
        <v>2018</v>
      </c>
      <c r="O6" t="s">
        <v>44</v>
      </c>
      <c r="P6">
        <v>137.5</v>
      </c>
      <c r="Q6">
        <v>149.1</v>
      </c>
      <c r="R6">
        <v>139.19999999999999</v>
      </c>
      <c r="S6">
        <v>142.5</v>
      </c>
      <c r="T6">
        <v>121.4</v>
      </c>
      <c r="U6">
        <v>151.6</v>
      </c>
      <c r="V6">
        <v>155.9</v>
      </c>
      <c r="W6">
        <v>121.7</v>
      </c>
      <c r="X6">
        <v>113.5</v>
      </c>
      <c r="Y6">
        <v>138.9</v>
      </c>
      <c r="Z6">
        <v>130.30000000000001</v>
      </c>
      <c r="AA6">
        <v>152.30000000000001</v>
      </c>
      <c r="AB6">
        <v>141.4</v>
      </c>
      <c r="AC6">
        <v>157.5</v>
      </c>
      <c r="AD6">
        <v>146.80000000000001</v>
      </c>
      <c r="AE6">
        <v>138.4</v>
      </c>
      <c r="AF6">
        <v>145.6</v>
      </c>
      <c r="AG6" t="s">
        <v>110</v>
      </c>
      <c r="AH6">
        <v>139.69999999999999</v>
      </c>
      <c r="AI6">
        <v>138.6</v>
      </c>
      <c r="AJ6" s="49">
        <v>137</v>
      </c>
      <c r="AK6" s="49">
        <v>123.6</v>
      </c>
      <c r="AL6">
        <v>133.1</v>
      </c>
      <c r="AM6">
        <v>144.69999999999999</v>
      </c>
      <c r="AN6">
        <v>130.1</v>
      </c>
      <c r="AO6">
        <v>133.19999999999999</v>
      </c>
      <c r="AP6">
        <v>139.80000000000001</v>
      </c>
      <c r="AQ6" s="49">
        <v>1795.3</v>
      </c>
      <c r="AR6" s="49">
        <f t="shared" si="0"/>
        <v>138.6</v>
      </c>
      <c r="AU6" s="17">
        <v>2020</v>
      </c>
      <c r="AV6" s="39">
        <f>(AJ36-AJ25)/AJ25</f>
        <v>5.9093893630991462E-2</v>
      </c>
      <c r="AW6" s="39">
        <f>(AQ36-AQ25)/AQ25</f>
        <v>7.5920649994724115E-2</v>
      </c>
      <c r="AX6" s="39">
        <f>(AR36-AR25)/AR25</f>
        <v>3.0737704918032786E-2</v>
      </c>
      <c r="AY6" s="39">
        <f>(AK36-AK25)/AK25</f>
        <v>0.11701308698999222</v>
      </c>
    </row>
    <row r="7" spans="2:51" x14ac:dyDescent="0.3">
      <c r="M7" t="s">
        <v>35</v>
      </c>
      <c r="N7">
        <v>2018</v>
      </c>
      <c r="O7" t="s">
        <v>46</v>
      </c>
      <c r="P7">
        <v>138.30000000000001</v>
      </c>
      <c r="Q7">
        <v>148</v>
      </c>
      <c r="R7">
        <v>138.1</v>
      </c>
      <c r="S7">
        <v>142.6</v>
      </c>
      <c r="T7">
        <v>122.2</v>
      </c>
      <c r="U7">
        <v>150.6</v>
      </c>
      <c r="V7">
        <v>156.6</v>
      </c>
      <c r="W7">
        <v>122.4</v>
      </c>
      <c r="X7">
        <v>114.7</v>
      </c>
      <c r="Y7">
        <v>139.4</v>
      </c>
      <c r="Z7">
        <v>131.1</v>
      </c>
      <c r="AA7">
        <v>153</v>
      </c>
      <c r="AB7">
        <v>141.69999999999999</v>
      </c>
      <c r="AC7">
        <v>157.9</v>
      </c>
      <c r="AD7">
        <v>147.30000000000001</v>
      </c>
      <c r="AE7">
        <v>138.80000000000001</v>
      </c>
      <c r="AF7">
        <v>146.1</v>
      </c>
      <c r="AG7" t="s">
        <v>111</v>
      </c>
      <c r="AH7">
        <v>140.9</v>
      </c>
      <c r="AI7">
        <v>139.4</v>
      </c>
      <c r="AJ7" s="49">
        <v>137.69999999999999</v>
      </c>
      <c r="AK7" s="49">
        <v>124.3</v>
      </c>
      <c r="AL7">
        <v>133.6</v>
      </c>
      <c r="AM7">
        <v>146</v>
      </c>
      <c r="AN7">
        <v>130.1</v>
      </c>
      <c r="AO7">
        <v>133.9</v>
      </c>
      <c r="AP7">
        <v>140.4</v>
      </c>
      <c r="AQ7" s="49">
        <v>1798.7000000000003</v>
      </c>
      <c r="AR7" s="49">
        <f t="shared" si="0"/>
        <v>139.4</v>
      </c>
      <c r="AU7" s="17">
        <v>2021</v>
      </c>
      <c r="AV7" s="39">
        <f>(AJ48-AJ37)/AJ37</f>
        <v>6.4935064935064943E-2</v>
      </c>
      <c r="AW7" s="39">
        <f>(AQ48-AQ37)/AQ37</f>
        <v>5.9723448072962843E-2</v>
      </c>
      <c r="AX7" s="39">
        <f>(AR48-AR37)/AR37</f>
        <v>7.0105820105820255E-2</v>
      </c>
      <c r="AY7" s="39">
        <f>(AK48-AK37)/AK37</f>
        <v>7.3187414500684111E-2</v>
      </c>
    </row>
    <row r="8" spans="2:51" x14ac:dyDescent="0.3">
      <c r="M8" t="s">
        <v>35</v>
      </c>
      <c r="N8">
        <v>2018</v>
      </c>
      <c r="O8" t="s">
        <v>48</v>
      </c>
      <c r="P8">
        <v>138.6</v>
      </c>
      <c r="Q8">
        <v>145.80000000000001</v>
      </c>
      <c r="R8">
        <v>135.1</v>
      </c>
      <c r="S8">
        <v>142.9</v>
      </c>
      <c r="T8">
        <v>122.1</v>
      </c>
      <c r="U8">
        <v>145.4</v>
      </c>
      <c r="V8">
        <v>150</v>
      </c>
      <c r="W8">
        <v>121.4</v>
      </c>
      <c r="X8">
        <v>113.7</v>
      </c>
      <c r="Y8">
        <v>139.5</v>
      </c>
      <c r="Z8">
        <v>130.80000000000001</v>
      </c>
      <c r="AA8">
        <v>153.80000000000001</v>
      </c>
      <c r="AB8">
        <v>140.4</v>
      </c>
      <c r="AC8">
        <v>159.19999999999999</v>
      </c>
      <c r="AD8">
        <v>147.69999999999999</v>
      </c>
      <c r="AE8">
        <v>139.1</v>
      </c>
      <c r="AF8">
        <v>146.5</v>
      </c>
      <c r="AG8" t="s">
        <v>112</v>
      </c>
      <c r="AH8">
        <v>142.30000000000001</v>
      </c>
      <c r="AI8">
        <v>139.69999999999999</v>
      </c>
      <c r="AJ8" s="49">
        <v>138.4</v>
      </c>
      <c r="AK8" s="49">
        <v>126</v>
      </c>
      <c r="AL8">
        <v>134.5</v>
      </c>
      <c r="AM8">
        <v>146.19999999999999</v>
      </c>
      <c r="AN8">
        <v>130.9</v>
      </c>
      <c r="AO8">
        <v>134.69999999999999</v>
      </c>
      <c r="AP8">
        <v>140.19999999999999</v>
      </c>
      <c r="AQ8" s="49">
        <v>1779.5</v>
      </c>
      <c r="AR8" s="49">
        <f t="shared" si="0"/>
        <v>139.69999999999999</v>
      </c>
    </row>
    <row r="9" spans="2:51" x14ac:dyDescent="0.3">
      <c r="M9" t="s">
        <v>35</v>
      </c>
      <c r="N9">
        <v>2018</v>
      </c>
      <c r="O9" t="s">
        <v>50</v>
      </c>
      <c r="P9">
        <v>137.4</v>
      </c>
      <c r="Q9">
        <v>149.5</v>
      </c>
      <c r="R9">
        <v>137.30000000000001</v>
      </c>
      <c r="S9">
        <v>141.9</v>
      </c>
      <c r="T9">
        <v>121.1</v>
      </c>
      <c r="U9">
        <v>142.5</v>
      </c>
      <c r="V9">
        <v>146.69999999999999</v>
      </c>
      <c r="W9">
        <v>119.1</v>
      </c>
      <c r="X9">
        <v>111.9</v>
      </c>
      <c r="Y9">
        <v>141</v>
      </c>
      <c r="Z9">
        <v>133.6</v>
      </c>
      <c r="AA9">
        <v>154.5</v>
      </c>
      <c r="AB9">
        <v>139.69999999999999</v>
      </c>
      <c r="AC9">
        <v>162.6</v>
      </c>
      <c r="AD9">
        <v>148</v>
      </c>
      <c r="AE9">
        <v>139.19999999999999</v>
      </c>
      <c r="AF9">
        <v>146.80000000000001</v>
      </c>
      <c r="AG9" t="s">
        <v>114</v>
      </c>
      <c r="AH9">
        <v>145.30000000000001</v>
      </c>
      <c r="AI9">
        <v>142.19999999999999</v>
      </c>
      <c r="AJ9" s="49">
        <v>142.1</v>
      </c>
      <c r="AK9" s="49">
        <v>125.5</v>
      </c>
      <c r="AL9">
        <v>136.5</v>
      </c>
      <c r="AM9">
        <v>147.80000000000001</v>
      </c>
      <c r="AN9">
        <v>132</v>
      </c>
      <c r="AO9">
        <v>136.30000000000001</v>
      </c>
      <c r="AP9">
        <v>140.80000000000001</v>
      </c>
      <c r="AQ9" s="49">
        <v>1776.2</v>
      </c>
      <c r="AR9" s="49">
        <f t="shared" si="0"/>
        <v>142.19999999999999</v>
      </c>
    </row>
    <row r="10" spans="2:51" x14ac:dyDescent="0.3">
      <c r="M10" t="s">
        <v>35</v>
      </c>
      <c r="N10">
        <v>2018</v>
      </c>
      <c r="O10" t="s">
        <v>53</v>
      </c>
      <c r="P10">
        <v>137.4</v>
      </c>
      <c r="Q10">
        <v>149.19999999999999</v>
      </c>
      <c r="R10">
        <v>137.1</v>
      </c>
      <c r="S10">
        <v>141.80000000000001</v>
      </c>
      <c r="T10">
        <v>121.1</v>
      </c>
      <c r="U10">
        <v>142.80000000000001</v>
      </c>
      <c r="V10">
        <v>146.69999999999999</v>
      </c>
      <c r="W10">
        <v>119.1</v>
      </c>
      <c r="X10">
        <v>111.9</v>
      </c>
      <c r="Y10">
        <v>140.9</v>
      </c>
      <c r="Z10">
        <v>133.5</v>
      </c>
      <c r="AA10">
        <v>154.5</v>
      </c>
      <c r="AB10">
        <v>139.69999999999999</v>
      </c>
      <c r="AC10">
        <v>162.6</v>
      </c>
      <c r="AD10">
        <v>148</v>
      </c>
      <c r="AE10">
        <v>139.1</v>
      </c>
      <c r="AF10">
        <v>146.69999999999999</v>
      </c>
      <c r="AG10" t="s">
        <v>114</v>
      </c>
      <c r="AH10">
        <v>145.1</v>
      </c>
      <c r="AI10">
        <v>142.19999999999999</v>
      </c>
      <c r="AJ10" s="49">
        <v>142.1</v>
      </c>
      <c r="AK10" s="49">
        <v>125.5</v>
      </c>
      <c r="AL10">
        <v>136.5</v>
      </c>
      <c r="AM10">
        <v>147.80000000000001</v>
      </c>
      <c r="AN10">
        <v>132</v>
      </c>
      <c r="AO10">
        <v>136.30000000000001</v>
      </c>
      <c r="AP10">
        <v>140.80000000000001</v>
      </c>
      <c r="AQ10" s="49">
        <v>1775.7000000000003</v>
      </c>
      <c r="AR10" s="49">
        <f t="shared" si="0"/>
        <v>142.19999999999999</v>
      </c>
    </row>
    <row r="11" spans="2:51" x14ac:dyDescent="0.3">
      <c r="M11" t="s">
        <v>35</v>
      </c>
      <c r="N11">
        <v>2018</v>
      </c>
      <c r="O11" t="s">
        <v>55</v>
      </c>
      <c r="P11">
        <v>137.5</v>
      </c>
      <c r="Q11">
        <v>150.5</v>
      </c>
      <c r="R11">
        <v>138.80000000000001</v>
      </c>
      <c r="S11">
        <v>142.1</v>
      </c>
      <c r="T11">
        <v>122</v>
      </c>
      <c r="U11">
        <v>139.4</v>
      </c>
      <c r="V11">
        <v>135.19999999999999</v>
      </c>
      <c r="W11">
        <v>119.8</v>
      </c>
      <c r="X11">
        <v>110.3</v>
      </c>
      <c r="Y11">
        <v>140.6</v>
      </c>
      <c r="Z11">
        <v>133.80000000000001</v>
      </c>
      <c r="AA11">
        <v>154.6</v>
      </c>
      <c r="AB11">
        <v>138.19999999999999</v>
      </c>
      <c r="AC11">
        <v>163</v>
      </c>
      <c r="AD11">
        <v>148.1</v>
      </c>
      <c r="AE11">
        <v>139.4</v>
      </c>
      <c r="AF11">
        <v>146.80000000000001</v>
      </c>
      <c r="AG11" t="s">
        <v>115</v>
      </c>
      <c r="AH11">
        <v>142.69999999999999</v>
      </c>
      <c r="AI11">
        <v>143.19999999999999</v>
      </c>
      <c r="AJ11" s="49">
        <v>144.9</v>
      </c>
      <c r="AK11" s="49">
        <v>123.6</v>
      </c>
      <c r="AL11">
        <v>136.80000000000001</v>
      </c>
      <c r="AM11">
        <v>150.1</v>
      </c>
      <c r="AN11">
        <v>132.19999999999999</v>
      </c>
      <c r="AO11">
        <v>136.80000000000001</v>
      </c>
      <c r="AP11">
        <v>140.1</v>
      </c>
      <c r="AQ11" s="49">
        <v>1762.7999999999997</v>
      </c>
      <c r="AR11" s="49">
        <f t="shared" si="0"/>
        <v>143.19999999999999</v>
      </c>
    </row>
    <row r="12" spans="2:51" x14ac:dyDescent="0.3">
      <c r="M12" t="s">
        <v>35</v>
      </c>
      <c r="N12">
        <v>2019</v>
      </c>
      <c r="O12" t="s">
        <v>31</v>
      </c>
      <c r="P12">
        <v>137.1</v>
      </c>
      <c r="Q12">
        <v>151.4</v>
      </c>
      <c r="R12">
        <v>140.19999999999999</v>
      </c>
      <c r="S12">
        <v>142.1</v>
      </c>
      <c r="T12">
        <v>121.8</v>
      </c>
      <c r="U12">
        <v>135.4</v>
      </c>
      <c r="V12">
        <v>131.30000000000001</v>
      </c>
      <c r="W12">
        <v>120.3</v>
      </c>
      <c r="X12">
        <v>109.1</v>
      </c>
      <c r="Y12">
        <v>139.4</v>
      </c>
      <c r="Z12">
        <v>133.30000000000001</v>
      </c>
      <c r="AA12">
        <v>154.6</v>
      </c>
      <c r="AB12">
        <v>137.4</v>
      </c>
      <c r="AC12">
        <v>163.19999999999999</v>
      </c>
      <c r="AD12">
        <v>147.6</v>
      </c>
      <c r="AE12">
        <v>139</v>
      </c>
      <c r="AF12">
        <v>146.4</v>
      </c>
      <c r="AG12" t="s">
        <v>116</v>
      </c>
      <c r="AH12">
        <v>139.5</v>
      </c>
      <c r="AI12">
        <v>143.6</v>
      </c>
      <c r="AJ12" s="49">
        <v>145.1</v>
      </c>
      <c r="AK12" s="49">
        <v>123.3</v>
      </c>
      <c r="AL12">
        <v>136.69999999999999</v>
      </c>
      <c r="AM12">
        <v>150.19999999999999</v>
      </c>
      <c r="AN12">
        <v>132.80000000000001</v>
      </c>
      <c r="AO12">
        <v>136.9</v>
      </c>
      <c r="AP12">
        <v>139.6</v>
      </c>
      <c r="AQ12" s="49">
        <v>1753.3999999999999</v>
      </c>
      <c r="AR12" s="49">
        <f t="shared" si="0"/>
        <v>143.6</v>
      </c>
    </row>
    <row r="13" spans="2:51" x14ac:dyDescent="0.3">
      <c r="B13" t="s">
        <v>253</v>
      </c>
      <c r="M13" s="5" t="s">
        <v>35</v>
      </c>
      <c r="N13" s="5">
        <v>2019</v>
      </c>
      <c r="O13" s="5" t="s">
        <v>36</v>
      </c>
      <c r="P13" s="5">
        <v>137.6</v>
      </c>
      <c r="Q13" s="5">
        <v>152</v>
      </c>
      <c r="R13" s="5">
        <v>141.5</v>
      </c>
      <c r="S13" s="5">
        <v>142.19999999999999</v>
      </c>
      <c r="T13" s="5">
        <v>122</v>
      </c>
      <c r="U13" s="5">
        <v>136.4</v>
      </c>
      <c r="V13" s="5">
        <v>129.69999999999999</v>
      </c>
      <c r="W13" s="5">
        <v>121</v>
      </c>
      <c r="X13" s="5">
        <v>109</v>
      </c>
      <c r="Y13" s="5">
        <v>139.69999999999999</v>
      </c>
      <c r="Z13" s="5">
        <v>133.6</v>
      </c>
      <c r="AA13" s="5">
        <v>154.9</v>
      </c>
      <c r="AB13" s="5">
        <v>137.5</v>
      </c>
      <c r="AC13" s="5">
        <v>163.4</v>
      </c>
      <c r="AD13" s="5">
        <v>147.69999999999999</v>
      </c>
      <c r="AE13" s="5">
        <v>139.69999999999999</v>
      </c>
      <c r="AF13" s="5">
        <v>146.5</v>
      </c>
      <c r="AG13" s="5" t="s">
        <v>117</v>
      </c>
      <c r="AH13" s="5">
        <v>138.4</v>
      </c>
      <c r="AI13" s="5">
        <v>143.69999999999999</v>
      </c>
      <c r="AJ13" s="5">
        <v>145.6</v>
      </c>
      <c r="AK13" s="5">
        <v>123.9</v>
      </c>
      <c r="AL13" s="5">
        <v>137.1</v>
      </c>
      <c r="AM13" s="5">
        <v>150.30000000000001</v>
      </c>
      <c r="AN13" s="5">
        <v>134.1</v>
      </c>
      <c r="AO13" s="5">
        <v>137.4</v>
      </c>
      <c r="AP13" s="5">
        <v>139.9</v>
      </c>
      <c r="AQ13" s="5">
        <v>1757.1</v>
      </c>
      <c r="AR13" s="5">
        <f t="shared" si="0"/>
        <v>143.69999999999999</v>
      </c>
    </row>
    <row r="14" spans="2:51" x14ac:dyDescent="0.3">
      <c r="B14" t="s">
        <v>274</v>
      </c>
      <c r="M14" s="2" t="s">
        <v>35</v>
      </c>
      <c r="N14" s="2">
        <v>2019</v>
      </c>
      <c r="O14" s="2" t="s">
        <v>38</v>
      </c>
      <c r="P14" s="2">
        <v>137.80000000000001</v>
      </c>
      <c r="Q14" s="2">
        <v>153</v>
      </c>
      <c r="R14" s="2">
        <v>140.30000000000001</v>
      </c>
      <c r="S14" s="2">
        <v>142.30000000000001</v>
      </c>
      <c r="T14" s="2">
        <v>122</v>
      </c>
      <c r="U14" s="2">
        <v>137.6</v>
      </c>
      <c r="V14" s="2">
        <v>132.6</v>
      </c>
      <c r="W14" s="2">
        <v>121.8</v>
      </c>
      <c r="X14" s="2">
        <v>109</v>
      </c>
      <c r="Y14" s="2">
        <v>139.5</v>
      </c>
      <c r="Z14" s="2">
        <v>133.69999999999999</v>
      </c>
      <c r="AA14" s="2">
        <v>155.19999999999999</v>
      </c>
      <c r="AB14" s="2">
        <v>138.1</v>
      </c>
      <c r="AC14" s="2">
        <v>163.5</v>
      </c>
      <c r="AD14" s="2">
        <v>147.9</v>
      </c>
      <c r="AE14" s="2">
        <v>139.9</v>
      </c>
      <c r="AF14" s="2">
        <v>146.69999999999999</v>
      </c>
      <c r="AG14" s="2" t="s">
        <v>118</v>
      </c>
      <c r="AH14" s="2">
        <v>139.69999999999999</v>
      </c>
      <c r="AI14" s="2">
        <v>143.80000000000001</v>
      </c>
      <c r="AJ14" s="2">
        <v>146.19999999999999</v>
      </c>
      <c r="AK14" s="2">
        <v>124.6</v>
      </c>
      <c r="AL14" s="2">
        <v>137.69999999999999</v>
      </c>
      <c r="AM14" s="2">
        <v>150.30000000000001</v>
      </c>
      <c r="AN14" s="2">
        <v>133.4</v>
      </c>
      <c r="AO14" s="2">
        <v>137.69999999999999</v>
      </c>
      <c r="AP14" s="2">
        <v>140.4</v>
      </c>
      <c r="AQ14" s="2">
        <v>1762.9</v>
      </c>
      <c r="AR14" s="2">
        <f t="shared" si="0"/>
        <v>143.80000000000001</v>
      </c>
    </row>
    <row r="15" spans="2:51" x14ac:dyDescent="0.3">
      <c r="M15" t="s">
        <v>35</v>
      </c>
      <c r="N15">
        <v>2019</v>
      </c>
      <c r="O15" t="s">
        <v>41</v>
      </c>
      <c r="P15">
        <v>138.30000000000001</v>
      </c>
      <c r="Q15">
        <v>158.5</v>
      </c>
      <c r="R15">
        <v>136</v>
      </c>
      <c r="S15">
        <v>142.5</v>
      </c>
      <c r="T15">
        <v>122</v>
      </c>
      <c r="U15">
        <v>146.5</v>
      </c>
      <c r="V15">
        <v>143</v>
      </c>
      <c r="W15">
        <v>124.9</v>
      </c>
      <c r="X15">
        <v>109.9</v>
      </c>
      <c r="Y15">
        <v>139.9</v>
      </c>
      <c r="Z15">
        <v>134</v>
      </c>
      <c r="AA15">
        <v>155.5</v>
      </c>
      <c r="AB15">
        <v>140.9</v>
      </c>
      <c r="AC15">
        <v>164.1</v>
      </c>
      <c r="AD15">
        <v>148.4</v>
      </c>
      <c r="AE15">
        <v>140.4</v>
      </c>
      <c r="AF15">
        <v>147.30000000000001</v>
      </c>
      <c r="AG15" t="s">
        <v>119</v>
      </c>
      <c r="AH15">
        <v>140.30000000000001</v>
      </c>
      <c r="AI15">
        <v>143.69999999999999</v>
      </c>
      <c r="AJ15" s="49">
        <v>146.9</v>
      </c>
      <c r="AK15" s="49">
        <v>124.9</v>
      </c>
      <c r="AL15">
        <v>139.19999999999999</v>
      </c>
      <c r="AM15">
        <v>151.6</v>
      </c>
      <c r="AN15">
        <v>133.4</v>
      </c>
      <c r="AO15">
        <v>138.19999999999999</v>
      </c>
      <c r="AP15">
        <v>142</v>
      </c>
      <c r="AQ15" s="49">
        <v>1791.9000000000003</v>
      </c>
      <c r="AR15" s="49">
        <f t="shared" si="0"/>
        <v>143.69999999999999</v>
      </c>
    </row>
    <row r="16" spans="2:51" x14ac:dyDescent="0.3">
      <c r="M16" t="s">
        <v>35</v>
      </c>
      <c r="N16">
        <v>2019</v>
      </c>
      <c r="O16" t="s">
        <v>42</v>
      </c>
      <c r="P16">
        <v>138.69999999999999</v>
      </c>
      <c r="Q16">
        <v>162.1</v>
      </c>
      <c r="R16">
        <v>137.80000000000001</v>
      </c>
      <c r="S16">
        <v>143.30000000000001</v>
      </c>
      <c r="T16">
        <v>122.2</v>
      </c>
      <c r="U16">
        <v>146.80000000000001</v>
      </c>
      <c r="V16">
        <v>150.5</v>
      </c>
      <c r="W16">
        <v>128.30000000000001</v>
      </c>
      <c r="X16">
        <v>111</v>
      </c>
      <c r="Y16">
        <v>140.6</v>
      </c>
      <c r="Z16">
        <v>134.19999999999999</v>
      </c>
      <c r="AA16">
        <v>155.9</v>
      </c>
      <c r="AB16">
        <v>142.69999999999999</v>
      </c>
      <c r="AC16">
        <v>164.9</v>
      </c>
      <c r="AD16">
        <v>148.6</v>
      </c>
      <c r="AE16">
        <v>140.4</v>
      </c>
      <c r="AF16">
        <v>147.4</v>
      </c>
      <c r="AG16" t="s">
        <v>120</v>
      </c>
      <c r="AH16">
        <v>141.19999999999999</v>
      </c>
      <c r="AI16">
        <v>143.80000000000001</v>
      </c>
      <c r="AJ16" s="49">
        <v>147.4</v>
      </c>
      <c r="AK16" s="49">
        <v>124.6</v>
      </c>
      <c r="AL16">
        <v>139.6</v>
      </c>
      <c r="AM16">
        <v>152.5</v>
      </c>
      <c r="AN16">
        <v>134.30000000000001</v>
      </c>
      <c r="AO16">
        <v>138.6</v>
      </c>
      <c r="AP16">
        <v>142.9</v>
      </c>
      <c r="AQ16" s="49">
        <v>1814.1000000000001</v>
      </c>
      <c r="AR16" s="49">
        <f t="shared" si="0"/>
        <v>143.80000000000001</v>
      </c>
    </row>
    <row r="17" spans="13:44" x14ac:dyDescent="0.3">
      <c r="M17" t="s">
        <v>35</v>
      </c>
      <c r="N17">
        <v>2019</v>
      </c>
      <c r="O17" t="s">
        <v>44</v>
      </c>
      <c r="P17">
        <v>139.30000000000001</v>
      </c>
      <c r="Q17">
        <v>162.69999999999999</v>
      </c>
      <c r="R17">
        <v>140</v>
      </c>
      <c r="S17">
        <v>144</v>
      </c>
      <c r="T17">
        <v>122.5</v>
      </c>
      <c r="U17">
        <v>150.30000000000001</v>
      </c>
      <c r="V17">
        <v>160.30000000000001</v>
      </c>
      <c r="W17">
        <v>130</v>
      </c>
      <c r="X17">
        <v>111.1</v>
      </c>
      <c r="Y17">
        <v>141.69999999999999</v>
      </c>
      <c r="Z17">
        <v>134.69999999999999</v>
      </c>
      <c r="AA17">
        <v>156.19999999999999</v>
      </c>
      <c r="AB17">
        <v>144.69999999999999</v>
      </c>
      <c r="AC17">
        <v>165.2</v>
      </c>
      <c r="AD17">
        <v>148.9</v>
      </c>
      <c r="AE17">
        <v>140.5</v>
      </c>
      <c r="AF17">
        <v>147.6</v>
      </c>
      <c r="AG17" t="s">
        <v>121</v>
      </c>
      <c r="AH17">
        <v>139.30000000000001</v>
      </c>
      <c r="AI17">
        <v>144.19999999999999</v>
      </c>
      <c r="AJ17" s="49">
        <v>147.9</v>
      </c>
      <c r="AK17" s="49">
        <v>125.6</v>
      </c>
      <c r="AL17">
        <v>140.5</v>
      </c>
      <c r="AM17">
        <v>154</v>
      </c>
      <c r="AN17">
        <v>135.69999999999999</v>
      </c>
      <c r="AO17">
        <v>139.5</v>
      </c>
      <c r="AP17">
        <v>144.19999999999999</v>
      </c>
      <c r="AQ17" s="49">
        <v>1837.5</v>
      </c>
      <c r="AR17" s="49">
        <f t="shared" si="0"/>
        <v>144.19999999999999</v>
      </c>
    </row>
    <row r="18" spans="13:44" x14ac:dyDescent="0.3">
      <c r="M18" t="s">
        <v>35</v>
      </c>
      <c r="N18">
        <v>2019</v>
      </c>
      <c r="O18" t="s">
        <v>46</v>
      </c>
      <c r="P18">
        <v>140.1</v>
      </c>
      <c r="Q18">
        <v>160.6</v>
      </c>
      <c r="R18">
        <v>138.5</v>
      </c>
      <c r="S18">
        <v>144.69999999999999</v>
      </c>
      <c r="T18">
        <v>122.9</v>
      </c>
      <c r="U18">
        <v>149.4</v>
      </c>
      <c r="V18">
        <v>167.4</v>
      </c>
      <c r="W18">
        <v>130.9</v>
      </c>
      <c r="X18">
        <v>112</v>
      </c>
      <c r="Y18">
        <v>142.6</v>
      </c>
      <c r="Z18">
        <v>134.9</v>
      </c>
      <c r="AA18">
        <v>156.6</v>
      </c>
      <c r="AB18">
        <v>145.9</v>
      </c>
      <c r="AC18">
        <v>165.8</v>
      </c>
      <c r="AD18">
        <v>149.1</v>
      </c>
      <c r="AE18">
        <v>140.6</v>
      </c>
      <c r="AF18">
        <v>147.9</v>
      </c>
      <c r="AG18" t="s">
        <v>122</v>
      </c>
      <c r="AH18">
        <v>138.5</v>
      </c>
      <c r="AI18">
        <v>144.5</v>
      </c>
      <c r="AJ18" s="49">
        <v>148.5</v>
      </c>
      <c r="AK18" s="49">
        <v>125.8</v>
      </c>
      <c r="AL18">
        <v>140.9</v>
      </c>
      <c r="AM18">
        <v>154.9</v>
      </c>
      <c r="AN18">
        <v>138.4</v>
      </c>
      <c r="AO18">
        <v>140.19999999999999</v>
      </c>
      <c r="AP18">
        <v>145</v>
      </c>
      <c r="AQ18" s="49">
        <v>1846.5</v>
      </c>
      <c r="AR18" s="49">
        <f t="shared" si="0"/>
        <v>144.5</v>
      </c>
    </row>
    <row r="19" spans="13:44" x14ac:dyDescent="0.3">
      <c r="M19" t="s">
        <v>35</v>
      </c>
      <c r="N19">
        <v>2019</v>
      </c>
      <c r="O19" t="s">
        <v>48</v>
      </c>
      <c r="P19">
        <v>140.9</v>
      </c>
      <c r="Q19">
        <v>160.80000000000001</v>
      </c>
      <c r="R19">
        <v>139.6</v>
      </c>
      <c r="S19">
        <v>145.4</v>
      </c>
      <c r="T19">
        <v>123.5</v>
      </c>
      <c r="U19">
        <v>146.6</v>
      </c>
      <c r="V19">
        <v>173.2</v>
      </c>
      <c r="W19">
        <v>131.6</v>
      </c>
      <c r="X19">
        <v>113.2</v>
      </c>
      <c r="Y19">
        <v>144.1</v>
      </c>
      <c r="Z19">
        <v>135</v>
      </c>
      <c r="AA19">
        <v>156.80000000000001</v>
      </c>
      <c r="AB19">
        <v>147</v>
      </c>
      <c r="AC19">
        <v>166.5</v>
      </c>
      <c r="AD19">
        <v>149.19999999999999</v>
      </c>
      <c r="AE19">
        <v>140.6</v>
      </c>
      <c r="AF19">
        <v>147.9</v>
      </c>
      <c r="AG19" t="s">
        <v>123</v>
      </c>
      <c r="AH19">
        <v>139.19999999999999</v>
      </c>
      <c r="AI19">
        <v>144.6</v>
      </c>
      <c r="AJ19" s="49">
        <v>149</v>
      </c>
      <c r="AK19" s="49">
        <v>126.1</v>
      </c>
      <c r="AL19">
        <v>141.30000000000001</v>
      </c>
      <c r="AM19">
        <v>155.19999999999999</v>
      </c>
      <c r="AN19">
        <v>139.69999999999999</v>
      </c>
      <c r="AO19">
        <v>140.69999999999999</v>
      </c>
      <c r="AP19">
        <v>145.80000000000001</v>
      </c>
      <c r="AQ19" s="49">
        <v>1857.6999999999998</v>
      </c>
      <c r="AR19" s="49">
        <f t="shared" si="0"/>
        <v>144.6</v>
      </c>
    </row>
    <row r="20" spans="13:44" x14ac:dyDescent="0.3">
      <c r="M20" t="s">
        <v>35</v>
      </c>
      <c r="N20">
        <v>2019</v>
      </c>
      <c r="O20" t="s">
        <v>50</v>
      </c>
      <c r="P20">
        <v>141.80000000000001</v>
      </c>
      <c r="Q20">
        <v>161</v>
      </c>
      <c r="R20">
        <v>142.6</v>
      </c>
      <c r="S20">
        <v>146.19999999999999</v>
      </c>
      <c r="T20">
        <v>123.9</v>
      </c>
      <c r="U20">
        <v>148</v>
      </c>
      <c r="V20">
        <v>188.4</v>
      </c>
      <c r="W20">
        <v>132.5</v>
      </c>
      <c r="X20">
        <v>114</v>
      </c>
      <c r="Y20">
        <v>145.4</v>
      </c>
      <c r="Z20">
        <v>135.1</v>
      </c>
      <c r="AA20">
        <v>157.1</v>
      </c>
      <c r="AB20">
        <v>149.6</v>
      </c>
      <c r="AC20">
        <v>167.1</v>
      </c>
      <c r="AD20">
        <v>149.4</v>
      </c>
      <c r="AE20">
        <v>140.80000000000001</v>
      </c>
      <c r="AF20">
        <v>148.19999999999999</v>
      </c>
      <c r="AG20" t="s">
        <v>124</v>
      </c>
      <c r="AH20">
        <v>140.6</v>
      </c>
      <c r="AI20">
        <v>145</v>
      </c>
      <c r="AJ20" s="49">
        <v>149.4</v>
      </c>
      <c r="AK20" s="49">
        <v>126.3</v>
      </c>
      <c r="AL20">
        <v>141.69999999999999</v>
      </c>
      <c r="AM20">
        <v>155.4</v>
      </c>
      <c r="AN20">
        <v>140</v>
      </c>
      <c r="AO20">
        <v>141</v>
      </c>
      <c r="AP20">
        <v>147.19999999999999</v>
      </c>
      <c r="AQ20" s="49">
        <v>1885.5999999999997</v>
      </c>
      <c r="AR20" s="49">
        <f t="shared" si="0"/>
        <v>145</v>
      </c>
    </row>
    <row r="21" spans="13:44" x14ac:dyDescent="0.3">
      <c r="M21" t="s">
        <v>35</v>
      </c>
      <c r="N21">
        <v>2019</v>
      </c>
      <c r="O21" t="s">
        <v>53</v>
      </c>
      <c r="P21">
        <v>142.5</v>
      </c>
      <c r="Q21">
        <v>163.19999999999999</v>
      </c>
      <c r="R21">
        <v>145.6</v>
      </c>
      <c r="S21">
        <v>146.69999999999999</v>
      </c>
      <c r="T21">
        <v>124.3</v>
      </c>
      <c r="U21">
        <v>147.4</v>
      </c>
      <c r="V21">
        <v>199.6</v>
      </c>
      <c r="W21">
        <v>135.69999999999999</v>
      </c>
      <c r="X21">
        <v>114.2</v>
      </c>
      <c r="Y21">
        <v>147</v>
      </c>
      <c r="Z21">
        <v>135.30000000000001</v>
      </c>
      <c r="AA21">
        <v>157.5</v>
      </c>
      <c r="AB21">
        <v>151.9</v>
      </c>
      <c r="AC21">
        <v>167.9</v>
      </c>
      <c r="AD21">
        <v>149.9</v>
      </c>
      <c r="AE21">
        <v>141</v>
      </c>
      <c r="AF21">
        <v>148.6</v>
      </c>
      <c r="AG21" t="s">
        <v>125</v>
      </c>
      <c r="AH21">
        <v>142.30000000000001</v>
      </c>
      <c r="AI21">
        <v>145.30000000000001</v>
      </c>
      <c r="AJ21" s="49">
        <v>149.9</v>
      </c>
      <c r="AK21" s="49">
        <v>126.6</v>
      </c>
      <c r="AL21">
        <v>142.1</v>
      </c>
      <c r="AM21">
        <v>155.5</v>
      </c>
      <c r="AN21">
        <v>140.30000000000001</v>
      </c>
      <c r="AO21">
        <v>141.30000000000001</v>
      </c>
      <c r="AP21">
        <v>148.6</v>
      </c>
      <c r="AQ21" s="49">
        <v>1910.9</v>
      </c>
      <c r="AR21" s="49">
        <f t="shared" si="0"/>
        <v>145.30000000000001</v>
      </c>
    </row>
    <row r="22" spans="13:44" x14ac:dyDescent="0.3">
      <c r="M22" t="s">
        <v>35</v>
      </c>
      <c r="N22">
        <v>2019</v>
      </c>
      <c r="O22" t="s">
        <v>55</v>
      </c>
      <c r="P22">
        <v>143.5</v>
      </c>
      <c r="Q22">
        <v>165</v>
      </c>
      <c r="R22">
        <v>151.1</v>
      </c>
      <c r="S22">
        <v>148.30000000000001</v>
      </c>
      <c r="T22">
        <v>125.7</v>
      </c>
      <c r="U22">
        <v>145.69999999999999</v>
      </c>
      <c r="V22">
        <v>217</v>
      </c>
      <c r="W22">
        <v>138.30000000000001</v>
      </c>
      <c r="X22">
        <v>114</v>
      </c>
      <c r="Y22">
        <v>148.69999999999999</v>
      </c>
      <c r="Z22">
        <v>135.80000000000001</v>
      </c>
      <c r="AA22">
        <v>158</v>
      </c>
      <c r="AB22">
        <v>155</v>
      </c>
      <c r="AC22">
        <v>168.5</v>
      </c>
      <c r="AD22">
        <v>150.30000000000001</v>
      </c>
      <c r="AE22">
        <v>141.30000000000001</v>
      </c>
      <c r="AF22">
        <v>149</v>
      </c>
      <c r="AG22" t="s">
        <v>126</v>
      </c>
      <c r="AH22">
        <v>143.69999999999999</v>
      </c>
      <c r="AI22">
        <v>145.80000000000001</v>
      </c>
      <c r="AJ22" s="49">
        <v>150.4</v>
      </c>
      <c r="AK22" s="49">
        <v>129.80000000000001</v>
      </c>
      <c r="AL22">
        <v>142.30000000000001</v>
      </c>
      <c r="AM22">
        <v>155.69999999999999</v>
      </c>
      <c r="AN22">
        <v>140.4</v>
      </c>
      <c r="AO22">
        <v>142.5</v>
      </c>
      <c r="AP22">
        <v>150.4</v>
      </c>
      <c r="AQ22" s="49">
        <v>1946.1000000000001</v>
      </c>
      <c r="AR22" s="49">
        <f t="shared" si="0"/>
        <v>145.80000000000001</v>
      </c>
    </row>
    <row r="23" spans="13:44" x14ac:dyDescent="0.3">
      <c r="M23" t="s">
        <v>35</v>
      </c>
      <c r="N23">
        <v>2020</v>
      </c>
      <c r="O23" t="s">
        <v>31</v>
      </c>
      <c r="P23">
        <v>144.30000000000001</v>
      </c>
      <c r="Q23">
        <v>167.4</v>
      </c>
      <c r="R23">
        <v>154.9</v>
      </c>
      <c r="S23">
        <v>150.1</v>
      </c>
      <c r="T23">
        <v>129.9</v>
      </c>
      <c r="U23">
        <v>143.19999999999999</v>
      </c>
      <c r="V23">
        <v>197</v>
      </c>
      <c r="W23">
        <v>140.4</v>
      </c>
      <c r="X23">
        <v>114.1</v>
      </c>
      <c r="Y23">
        <v>150.9</v>
      </c>
      <c r="Z23">
        <v>136.1</v>
      </c>
      <c r="AA23">
        <v>158.6</v>
      </c>
      <c r="AB23">
        <v>153.5</v>
      </c>
      <c r="AC23">
        <v>169.2</v>
      </c>
      <c r="AD23">
        <v>150.5</v>
      </c>
      <c r="AE23">
        <v>141.5</v>
      </c>
      <c r="AF23">
        <v>149.19999999999999</v>
      </c>
      <c r="AG23" t="s">
        <v>127</v>
      </c>
      <c r="AH23">
        <v>144.6</v>
      </c>
      <c r="AI23">
        <v>146.19999999999999</v>
      </c>
      <c r="AJ23" s="49">
        <v>151.19999999999999</v>
      </c>
      <c r="AK23" s="49">
        <v>130.9</v>
      </c>
      <c r="AL23">
        <v>142.80000000000001</v>
      </c>
      <c r="AM23">
        <v>156.1</v>
      </c>
      <c r="AN23">
        <v>142.30000000000001</v>
      </c>
      <c r="AO23">
        <v>143.4</v>
      </c>
      <c r="AP23">
        <v>150.19999999999999</v>
      </c>
      <c r="AQ23" s="49">
        <v>1940.3999999999999</v>
      </c>
      <c r="AR23" s="49">
        <f t="shared" si="0"/>
        <v>146.19999999999999</v>
      </c>
    </row>
    <row r="24" spans="13:44" x14ac:dyDescent="0.3">
      <c r="M24" s="2" t="s">
        <v>35</v>
      </c>
      <c r="N24" s="2">
        <v>2020</v>
      </c>
      <c r="O24" s="2" t="s">
        <v>36</v>
      </c>
      <c r="P24" s="2">
        <v>144.80000000000001</v>
      </c>
      <c r="Q24" s="2">
        <v>167.5</v>
      </c>
      <c r="R24" s="2">
        <v>151.80000000000001</v>
      </c>
      <c r="S24" s="2">
        <v>150.80000000000001</v>
      </c>
      <c r="T24" s="2">
        <v>131.4</v>
      </c>
      <c r="U24" s="2">
        <v>141.80000000000001</v>
      </c>
      <c r="V24" s="2">
        <v>170.7</v>
      </c>
      <c r="W24" s="2">
        <v>141.1</v>
      </c>
      <c r="X24" s="2">
        <v>113.6</v>
      </c>
      <c r="Y24" s="2">
        <v>152</v>
      </c>
      <c r="Z24" s="2">
        <v>136.5</v>
      </c>
      <c r="AA24" s="2">
        <v>159.1</v>
      </c>
      <c r="AB24" s="2">
        <v>150.5</v>
      </c>
      <c r="AC24" s="2">
        <v>170.1</v>
      </c>
      <c r="AD24" s="2">
        <v>150.80000000000001</v>
      </c>
      <c r="AE24" s="2">
        <v>141.69999999999999</v>
      </c>
      <c r="AF24" s="2">
        <v>149.5</v>
      </c>
      <c r="AG24" s="2" t="s">
        <v>128</v>
      </c>
      <c r="AH24" s="2">
        <v>147.19999999999999</v>
      </c>
      <c r="AI24" s="2">
        <v>146.4</v>
      </c>
      <c r="AJ24" s="2">
        <v>151.69999999999999</v>
      </c>
      <c r="AK24" s="2">
        <v>130.30000000000001</v>
      </c>
      <c r="AL24" s="2">
        <v>143.19999999999999</v>
      </c>
      <c r="AM24" s="2">
        <v>156.19999999999999</v>
      </c>
      <c r="AN24" s="2">
        <v>143.4</v>
      </c>
      <c r="AO24" s="2">
        <v>143.6</v>
      </c>
      <c r="AP24" s="2">
        <v>149.1</v>
      </c>
      <c r="AQ24" s="2">
        <v>1911.6</v>
      </c>
      <c r="AR24" s="2">
        <f t="shared" si="0"/>
        <v>146.4</v>
      </c>
    </row>
    <row r="25" spans="13:44" x14ac:dyDescent="0.3">
      <c r="M25" s="3" t="s">
        <v>35</v>
      </c>
      <c r="N25" s="3">
        <v>2020</v>
      </c>
      <c r="O25" s="3" t="s">
        <v>38</v>
      </c>
      <c r="P25" s="3">
        <v>145.1</v>
      </c>
      <c r="Q25" s="3">
        <v>167</v>
      </c>
      <c r="R25" s="3">
        <v>148.1</v>
      </c>
      <c r="S25" s="3">
        <v>151.5</v>
      </c>
      <c r="T25" s="3">
        <v>131.19999999999999</v>
      </c>
      <c r="U25" s="3">
        <v>142.5</v>
      </c>
      <c r="V25" s="3">
        <v>157.30000000000001</v>
      </c>
      <c r="W25" s="3">
        <v>141.1</v>
      </c>
      <c r="X25" s="3">
        <v>113.2</v>
      </c>
      <c r="Y25" s="3">
        <v>153.19999999999999</v>
      </c>
      <c r="Z25" s="3">
        <v>136.69999999999999</v>
      </c>
      <c r="AA25" s="3">
        <v>159.6</v>
      </c>
      <c r="AB25" s="3">
        <v>148.9</v>
      </c>
      <c r="AC25" s="3">
        <v>171.2</v>
      </c>
      <c r="AD25" s="3">
        <v>151.19999999999999</v>
      </c>
      <c r="AE25" s="3">
        <v>141.9</v>
      </c>
      <c r="AF25" s="3">
        <v>149.80000000000001</v>
      </c>
      <c r="AG25" s="3" t="s">
        <v>129</v>
      </c>
      <c r="AH25" s="3">
        <v>148.9</v>
      </c>
      <c r="AI25" s="3">
        <v>146.4</v>
      </c>
      <c r="AJ25" s="3">
        <v>152.30000000000001</v>
      </c>
      <c r="AK25" s="3">
        <v>129.9</v>
      </c>
      <c r="AL25" s="3">
        <v>143.69999999999999</v>
      </c>
      <c r="AM25" s="3">
        <v>156.1</v>
      </c>
      <c r="AN25" s="3">
        <v>145.19999999999999</v>
      </c>
      <c r="AO25" s="3">
        <v>143.80000000000001</v>
      </c>
      <c r="AP25" s="3">
        <v>148.6</v>
      </c>
      <c r="AQ25" s="3">
        <v>1895.4</v>
      </c>
      <c r="AR25" s="3">
        <f t="shared" si="0"/>
        <v>146.4</v>
      </c>
    </row>
    <row r="26" spans="13:44" x14ac:dyDescent="0.3">
      <c r="M26" t="s">
        <v>35</v>
      </c>
      <c r="N26">
        <v>2020</v>
      </c>
      <c r="O26" t="s">
        <v>39</v>
      </c>
      <c r="P26">
        <v>148.69999999999999</v>
      </c>
      <c r="R26">
        <v>148.80000000000001</v>
      </c>
      <c r="S26">
        <v>155.6</v>
      </c>
      <c r="T26">
        <v>135.1</v>
      </c>
      <c r="U26">
        <v>149.9</v>
      </c>
      <c r="V26">
        <v>168.6</v>
      </c>
      <c r="W26">
        <v>150.4</v>
      </c>
      <c r="X26">
        <v>120.3</v>
      </c>
      <c r="Y26">
        <v>157.1</v>
      </c>
      <c r="Z26">
        <v>136.80000000000001</v>
      </c>
      <c r="AB26">
        <v>151.4</v>
      </c>
      <c r="AG26" t="s">
        <v>130</v>
      </c>
      <c r="AH26">
        <v>144.1</v>
      </c>
      <c r="AI26" s="48">
        <f>AVERAGE(AI23:AI25,AI27:AI30)</f>
        <v>146.70000000000002</v>
      </c>
      <c r="AJ26" s="49">
        <v>150.69999999999999</v>
      </c>
      <c r="AK26" s="50">
        <f>AVERAGE(AK23:AK25,AK28,AK27,AK29)</f>
        <v>132.22</v>
      </c>
      <c r="AP26">
        <v>150.85000000000002</v>
      </c>
      <c r="AQ26" s="49">
        <v>1622.7</v>
      </c>
      <c r="AR26" s="49">
        <f t="shared" si="0"/>
        <v>146.70000000000002</v>
      </c>
    </row>
    <row r="27" spans="13:44" x14ac:dyDescent="0.3">
      <c r="M27" t="s">
        <v>35</v>
      </c>
      <c r="N27">
        <v>2020</v>
      </c>
      <c r="O27" t="s">
        <v>41</v>
      </c>
      <c r="AG27" t="s">
        <v>32</v>
      </c>
      <c r="AI27" s="48">
        <v>146.69999999999999</v>
      </c>
      <c r="AJ27" s="51">
        <f>AVERAGE(AJ24:AJ26,AJ28:AJ30)</f>
        <v>153.08333333333334</v>
      </c>
      <c r="AK27" s="50">
        <v>132.22</v>
      </c>
      <c r="AP27">
        <v>150.85000000000002</v>
      </c>
      <c r="AQ27" s="49">
        <v>0</v>
      </c>
      <c r="AR27" s="49">
        <f t="shared" si="0"/>
        <v>146.69999999999999</v>
      </c>
    </row>
    <row r="28" spans="13:44" x14ac:dyDescent="0.3">
      <c r="M28" t="s">
        <v>35</v>
      </c>
      <c r="N28">
        <v>2020</v>
      </c>
      <c r="O28" t="s">
        <v>42</v>
      </c>
      <c r="P28">
        <v>149.6</v>
      </c>
      <c r="Q28">
        <v>192.7</v>
      </c>
      <c r="R28">
        <v>151.4</v>
      </c>
      <c r="S28">
        <v>153.30000000000001</v>
      </c>
      <c r="T28">
        <v>136.30000000000001</v>
      </c>
      <c r="U28">
        <v>147.19999999999999</v>
      </c>
      <c r="V28">
        <v>156.5</v>
      </c>
      <c r="W28">
        <v>150.9</v>
      </c>
      <c r="X28">
        <v>114.2</v>
      </c>
      <c r="Y28">
        <v>159.5</v>
      </c>
      <c r="Z28">
        <v>139.4</v>
      </c>
      <c r="AA28">
        <v>161.80000000000001</v>
      </c>
      <c r="AB28">
        <v>154</v>
      </c>
      <c r="AC28">
        <v>183.5</v>
      </c>
      <c r="AD28">
        <v>152.5</v>
      </c>
      <c r="AE28">
        <v>144.4</v>
      </c>
      <c r="AF28">
        <v>151.4</v>
      </c>
      <c r="AG28" t="s">
        <v>131</v>
      </c>
      <c r="AH28">
        <v>141.9</v>
      </c>
      <c r="AI28">
        <v>146.4</v>
      </c>
      <c r="AJ28" s="49">
        <v>154.4</v>
      </c>
      <c r="AK28" s="49">
        <v>135</v>
      </c>
      <c r="AL28">
        <v>148.30000000000001</v>
      </c>
      <c r="AM28">
        <v>156.4</v>
      </c>
      <c r="AN28">
        <v>151.6</v>
      </c>
      <c r="AO28">
        <v>147</v>
      </c>
      <c r="AP28">
        <v>151.80000000000001</v>
      </c>
      <c r="AQ28" s="49">
        <v>1966.8000000000002</v>
      </c>
      <c r="AR28" s="49">
        <f t="shared" si="0"/>
        <v>146.4</v>
      </c>
    </row>
    <row r="29" spans="13:44" x14ac:dyDescent="0.3">
      <c r="M29" t="s">
        <v>35</v>
      </c>
      <c r="N29">
        <v>2020</v>
      </c>
      <c r="O29" t="s">
        <v>44</v>
      </c>
      <c r="P29">
        <v>149.6</v>
      </c>
      <c r="Q29">
        <v>192.7</v>
      </c>
      <c r="R29">
        <v>151.4</v>
      </c>
      <c r="S29">
        <v>153.30000000000001</v>
      </c>
      <c r="T29">
        <v>136.30000000000001</v>
      </c>
      <c r="U29">
        <v>147.19999999999999</v>
      </c>
      <c r="V29">
        <v>156.5</v>
      </c>
      <c r="W29">
        <v>150.9</v>
      </c>
      <c r="X29">
        <v>114.2</v>
      </c>
      <c r="Y29">
        <v>159.5</v>
      </c>
      <c r="Z29">
        <v>139.4</v>
      </c>
      <c r="AA29">
        <v>161.80000000000001</v>
      </c>
      <c r="AB29">
        <v>154</v>
      </c>
      <c r="AC29">
        <v>183.5</v>
      </c>
      <c r="AD29">
        <v>152.5</v>
      </c>
      <c r="AE29">
        <v>144.4</v>
      </c>
      <c r="AF29">
        <v>151.4</v>
      </c>
      <c r="AG29" t="s">
        <v>131</v>
      </c>
      <c r="AH29">
        <v>141.9</v>
      </c>
      <c r="AI29">
        <v>146.4</v>
      </c>
      <c r="AJ29" s="49">
        <v>154.4</v>
      </c>
      <c r="AK29" s="49">
        <v>135</v>
      </c>
      <c r="AL29">
        <v>148.30000000000001</v>
      </c>
      <c r="AM29">
        <v>156.4</v>
      </c>
      <c r="AN29">
        <v>151.6</v>
      </c>
      <c r="AO29">
        <v>147</v>
      </c>
      <c r="AP29">
        <v>151.80000000000001</v>
      </c>
      <c r="AQ29" s="49">
        <v>1966.8000000000002</v>
      </c>
      <c r="AR29" s="49">
        <f t="shared" si="0"/>
        <v>146.4</v>
      </c>
    </row>
    <row r="30" spans="13:44" x14ac:dyDescent="0.3">
      <c r="M30" t="s">
        <v>35</v>
      </c>
      <c r="N30">
        <v>2020</v>
      </c>
      <c r="O30" t="s">
        <v>46</v>
      </c>
      <c r="P30">
        <v>148.9</v>
      </c>
      <c r="Q30">
        <v>190.9</v>
      </c>
      <c r="R30">
        <v>150.80000000000001</v>
      </c>
      <c r="S30">
        <v>153.30000000000001</v>
      </c>
      <c r="T30">
        <v>137.4</v>
      </c>
      <c r="U30">
        <v>150.4</v>
      </c>
      <c r="V30">
        <v>178.1</v>
      </c>
      <c r="W30">
        <v>150.4</v>
      </c>
      <c r="X30">
        <v>115.1</v>
      </c>
      <c r="Y30">
        <v>160</v>
      </c>
      <c r="Z30">
        <v>140.6</v>
      </c>
      <c r="AA30">
        <v>162.30000000000001</v>
      </c>
      <c r="AB30">
        <v>157</v>
      </c>
      <c r="AC30">
        <v>182.6</v>
      </c>
      <c r="AD30">
        <v>153.1</v>
      </c>
      <c r="AE30">
        <v>143.4</v>
      </c>
      <c r="AF30">
        <v>151.69999999999999</v>
      </c>
      <c r="AG30" t="s">
        <v>132</v>
      </c>
      <c r="AH30">
        <v>143</v>
      </c>
      <c r="AI30">
        <v>148.4</v>
      </c>
      <c r="AJ30" s="49">
        <v>155</v>
      </c>
      <c r="AK30" s="49">
        <v>138.5</v>
      </c>
      <c r="AL30">
        <v>146</v>
      </c>
      <c r="AM30">
        <v>158.5</v>
      </c>
      <c r="AN30">
        <v>154.30000000000001</v>
      </c>
      <c r="AO30">
        <v>149</v>
      </c>
      <c r="AP30">
        <v>153.9</v>
      </c>
      <c r="AQ30" s="49">
        <v>1995.1999999999998</v>
      </c>
      <c r="AR30" s="49">
        <f t="shared" si="0"/>
        <v>148.4</v>
      </c>
    </row>
    <row r="31" spans="13:44" x14ac:dyDescent="0.3">
      <c r="M31" t="s">
        <v>35</v>
      </c>
      <c r="N31">
        <v>2020</v>
      </c>
      <c r="O31" t="s">
        <v>48</v>
      </c>
      <c r="P31">
        <v>148.4</v>
      </c>
      <c r="Q31">
        <v>187.1</v>
      </c>
      <c r="R31">
        <v>152.5</v>
      </c>
      <c r="S31">
        <v>153.6</v>
      </c>
      <c r="T31">
        <v>138.19999999999999</v>
      </c>
      <c r="U31">
        <v>150.9</v>
      </c>
      <c r="V31">
        <v>186.7</v>
      </c>
      <c r="W31">
        <v>149.80000000000001</v>
      </c>
      <c r="X31">
        <v>116.4</v>
      </c>
      <c r="Y31">
        <v>160.30000000000001</v>
      </c>
      <c r="Z31">
        <v>142.19999999999999</v>
      </c>
      <c r="AA31">
        <v>162.9</v>
      </c>
      <c r="AB31">
        <v>158</v>
      </c>
      <c r="AC31">
        <v>184.4</v>
      </c>
      <c r="AD31">
        <v>153.4</v>
      </c>
      <c r="AE31">
        <v>144.30000000000001</v>
      </c>
      <c r="AF31">
        <v>152</v>
      </c>
      <c r="AG31" t="s">
        <v>133</v>
      </c>
      <c r="AH31">
        <v>142.9</v>
      </c>
      <c r="AI31">
        <v>148.69999999999999</v>
      </c>
      <c r="AJ31" s="49">
        <v>155.6</v>
      </c>
      <c r="AK31" s="49">
        <v>139.6</v>
      </c>
      <c r="AL31">
        <v>146.6</v>
      </c>
      <c r="AM31">
        <v>157.5</v>
      </c>
      <c r="AN31">
        <v>158.4</v>
      </c>
      <c r="AO31">
        <v>150</v>
      </c>
      <c r="AP31">
        <v>154.69999999999999</v>
      </c>
      <c r="AQ31" s="49">
        <v>2007</v>
      </c>
      <c r="AR31" s="49">
        <f t="shared" si="0"/>
        <v>148.69999999999999</v>
      </c>
    </row>
    <row r="32" spans="13:44" x14ac:dyDescent="0.3">
      <c r="M32" t="s">
        <v>35</v>
      </c>
      <c r="N32">
        <v>2020</v>
      </c>
      <c r="O32" t="s">
        <v>50</v>
      </c>
      <c r="P32">
        <v>147.5</v>
      </c>
      <c r="Q32">
        <v>188.9</v>
      </c>
      <c r="R32">
        <v>161.4</v>
      </c>
      <c r="S32">
        <v>153.6</v>
      </c>
      <c r="T32">
        <v>140.1</v>
      </c>
      <c r="U32">
        <v>151.19999999999999</v>
      </c>
      <c r="V32">
        <v>209.2</v>
      </c>
      <c r="W32">
        <v>150.9</v>
      </c>
      <c r="X32">
        <v>116.2</v>
      </c>
      <c r="Y32">
        <v>161</v>
      </c>
      <c r="Z32">
        <v>144</v>
      </c>
      <c r="AA32">
        <v>163.19999999999999</v>
      </c>
      <c r="AB32">
        <v>161.4</v>
      </c>
      <c r="AC32">
        <v>184.3</v>
      </c>
      <c r="AD32">
        <v>153.69999999999999</v>
      </c>
      <c r="AE32">
        <v>144.6</v>
      </c>
      <c r="AF32">
        <v>152.30000000000001</v>
      </c>
      <c r="AG32" t="s">
        <v>134</v>
      </c>
      <c r="AH32">
        <v>143.1</v>
      </c>
      <c r="AI32">
        <v>148.69999999999999</v>
      </c>
      <c r="AJ32" s="49">
        <v>156.30000000000001</v>
      </c>
      <c r="AK32" s="49">
        <v>140.6</v>
      </c>
      <c r="AL32">
        <v>146.5</v>
      </c>
      <c r="AM32">
        <v>158.5</v>
      </c>
      <c r="AN32">
        <v>157</v>
      </c>
      <c r="AO32">
        <v>150.4</v>
      </c>
      <c r="AP32">
        <v>156.4</v>
      </c>
      <c r="AQ32" s="49">
        <v>2048.6000000000004</v>
      </c>
      <c r="AR32" s="49">
        <f t="shared" si="0"/>
        <v>148.69999999999999</v>
      </c>
    </row>
    <row r="33" spans="13:44" x14ac:dyDescent="0.3">
      <c r="M33" t="s">
        <v>35</v>
      </c>
      <c r="N33">
        <v>2020</v>
      </c>
      <c r="O33" t="s">
        <v>53</v>
      </c>
      <c r="P33">
        <v>146.80000000000001</v>
      </c>
      <c r="Q33">
        <v>191</v>
      </c>
      <c r="R33">
        <v>173.6</v>
      </c>
      <c r="S33">
        <v>153.80000000000001</v>
      </c>
      <c r="T33">
        <v>142.69999999999999</v>
      </c>
      <c r="U33">
        <v>148.4</v>
      </c>
      <c r="V33">
        <v>230</v>
      </c>
      <c r="W33">
        <v>156.80000000000001</v>
      </c>
      <c r="X33">
        <v>115.7</v>
      </c>
      <c r="Y33">
        <v>161.80000000000001</v>
      </c>
      <c r="Z33">
        <v>146.5</v>
      </c>
      <c r="AA33">
        <v>163.80000000000001</v>
      </c>
      <c r="AB33">
        <v>164.7</v>
      </c>
      <c r="AC33">
        <v>184.8</v>
      </c>
      <c r="AD33">
        <v>154.30000000000001</v>
      </c>
      <c r="AE33">
        <v>144.9</v>
      </c>
      <c r="AF33">
        <v>152.80000000000001</v>
      </c>
      <c r="AG33" t="s">
        <v>135</v>
      </c>
      <c r="AH33">
        <v>143.6</v>
      </c>
      <c r="AI33">
        <v>149.19999999999999</v>
      </c>
      <c r="AJ33" s="49">
        <v>157.19999999999999</v>
      </c>
      <c r="AK33" s="49">
        <v>140.4</v>
      </c>
      <c r="AL33">
        <v>148.4</v>
      </c>
      <c r="AM33">
        <v>158.6</v>
      </c>
      <c r="AN33">
        <v>156.9</v>
      </c>
      <c r="AO33">
        <v>150.69999999999999</v>
      </c>
      <c r="AP33">
        <v>158.4</v>
      </c>
      <c r="AQ33" s="49">
        <v>2095.6</v>
      </c>
      <c r="AR33" s="49">
        <f t="shared" si="0"/>
        <v>149.19999999999999</v>
      </c>
    </row>
    <row r="34" spans="13:44" x14ac:dyDescent="0.3">
      <c r="M34" t="s">
        <v>35</v>
      </c>
      <c r="N34">
        <v>2020</v>
      </c>
      <c r="O34" t="s">
        <v>55</v>
      </c>
      <c r="P34">
        <v>146</v>
      </c>
      <c r="Q34">
        <v>191</v>
      </c>
      <c r="R34">
        <v>175.3</v>
      </c>
      <c r="S34">
        <v>154.1</v>
      </c>
      <c r="T34">
        <v>146.6</v>
      </c>
      <c r="U34">
        <v>147.69999999999999</v>
      </c>
      <c r="V34">
        <v>230.5</v>
      </c>
      <c r="W34">
        <v>160.19999999999999</v>
      </c>
      <c r="X34">
        <v>115.3</v>
      </c>
      <c r="Y34">
        <v>163</v>
      </c>
      <c r="Z34">
        <v>149.19999999999999</v>
      </c>
      <c r="AA34">
        <v>164.8</v>
      </c>
      <c r="AB34">
        <v>165.4</v>
      </c>
      <c r="AC34">
        <v>185.4</v>
      </c>
      <c r="AD34">
        <v>155</v>
      </c>
      <c r="AE34">
        <v>145.4</v>
      </c>
      <c r="AF34">
        <v>153.6</v>
      </c>
      <c r="AG34" t="s">
        <v>136</v>
      </c>
      <c r="AH34">
        <v>144.6</v>
      </c>
      <c r="AI34">
        <v>149.69999999999999</v>
      </c>
      <c r="AJ34" s="49">
        <v>158.30000000000001</v>
      </c>
      <c r="AK34" s="49">
        <v>140.69999999999999</v>
      </c>
      <c r="AL34">
        <v>148.5</v>
      </c>
      <c r="AM34">
        <v>159.4</v>
      </c>
      <c r="AN34">
        <v>157.1</v>
      </c>
      <c r="AO34">
        <v>151.19999999999999</v>
      </c>
      <c r="AP34">
        <v>158.9</v>
      </c>
      <c r="AQ34" s="49">
        <v>2109.1</v>
      </c>
      <c r="AR34" s="49">
        <f t="shared" si="0"/>
        <v>149.69999999999999</v>
      </c>
    </row>
    <row r="35" spans="13:44" x14ac:dyDescent="0.3">
      <c r="M35" t="s">
        <v>35</v>
      </c>
      <c r="N35">
        <v>2021</v>
      </c>
      <c r="O35" t="s">
        <v>31</v>
      </c>
      <c r="P35">
        <v>144.9</v>
      </c>
      <c r="Q35">
        <v>190.1</v>
      </c>
      <c r="R35">
        <v>175.3</v>
      </c>
      <c r="S35">
        <v>154.1</v>
      </c>
      <c r="T35">
        <v>150.9</v>
      </c>
      <c r="U35">
        <v>149.6</v>
      </c>
      <c r="V35">
        <v>194.2</v>
      </c>
      <c r="W35">
        <v>160.4</v>
      </c>
      <c r="X35">
        <v>114.6</v>
      </c>
      <c r="Y35">
        <v>164</v>
      </c>
      <c r="Z35">
        <v>151.80000000000001</v>
      </c>
      <c r="AA35">
        <v>165.6</v>
      </c>
      <c r="AB35">
        <v>161</v>
      </c>
      <c r="AC35">
        <v>186.5</v>
      </c>
      <c r="AD35">
        <v>155.5</v>
      </c>
      <c r="AE35">
        <v>146.1</v>
      </c>
      <c r="AF35">
        <v>154.19999999999999</v>
      </c>
      <c r="AG35" t="s">
        <v>137</v>
      </c>
      <c r="AH35">
        <v>147.9</v>
      </c>
      <c r="AI35">
        <v>150</v>
      </c>
      <c r="AJ35" s="49">
        <v>159.30000000000001</v>
      </c>
      <c r="AK35" s="49">
        <v>141.9</v>
      </c>
      <c r="AL35">
        <v>149.6</v>
      </c>
      <c r="AM35">
        <v>159.19999999999999</v>
      </c>
      <c r="AN35">
        <v>156.80000000000001</v>
      </c>
      <c r="AO35">
        <v>151.9</v>
      </c>
      <c r="AP35">
        <v>157.30000000000001</v>
      </c>
      <c r="AQ35" s="49">
        <v>2076.5</v>
      </c>
      <c r="AR35" s="49">
        <f t="shared" si="0"/>
        <v>150</v>
      </c>
    </row>
    <row r="36" spans="13:44" x14ac:dyDescent="0.3">
      <c r="M36" s="3" t="s">
        <v>35</v>
      </c>
      <c r="N36" s="3">
        <v>2021</v>
      </c>
      <c r="O36" s="3" t="s">
        <v>36</v>
      </c>
      <c r="P36" s="3">
        <v>144.30000000000001</v>
      </c>
      <c r="Q36" s="3">
        <v>186.5</v>
      </c>
      <c r="R36" s="3">
        <v>168.7</v>
      </c>
      <c r="S36" s="3">
        <v>154.69999999999999</v>
      </c>
      <c r="T36" s="3">
        <v>158.69999999999999</v>
      </c>
      <c r="U36" s="3">
        <v>150.69999999999999</v>
      </c>
      <c r="V36" s="3">
        <v>160</v>
      </c>
      <c r="W36" s="3">
        <v>158.80000000000001</v>
      </c>
      <c r="X36" s="3">
        <v>112.8</v>
      </c>
      <c r="Y36" s="3">
        <v>164.2</v>
      </c>
      <c r="Z36" s="3">
        <v>155.5</v>
      </c>
      <c r="AA36" s="3">
        <v>167.5</v>
      </c>
      <c r="AB36" s="3">
        <v>156.9</v>
      </c>
      <c r="AC36" s="3">
        <v>188.3</v>
      </c>
      <c r="AD36" s="3">
        <v>157.19999999999999</v>
      </c>
      <c r="AE36" s="3">
        <v>147.4</v>
      </c>
      <c r="AF36" s="3">
        <v>155.80000000000001</v>
      </c>
      <c r="AG36" s="3" t="s">
        <v>138</v>
      </c>
      <c r="AH36" s="3">
        <v>152.4</v>
      </c>
      <c r="AI36" s="3">
        <v>150.9</v>
      </c>
      <c r="AJ36" s="3">
        <v>161.30000000000001</v>
      </c>
      <c r="AK36" s="3">
        <v>145.1</v>
      </c>
      <c r="AL36" s="3">
        <v>151.5</v>
      </c>
      <c r="AM36" s="3">
        <v>159.5</v>
      </c>
      <c r="AN36" s="3">
        <v>155.80000000000001</v>
      </c>
      <c r="AO36" s="3">
        <v>153.4</v>
      </c>
      <c r="AP36" s="3">
        <v>156.6</v>
      </c>
      <c r="AQ36" s="3">
        <v>2039.3000000000002</v>
      </c>
      <c r="AR36" s="3">
        <f t="shared" si="0"/>
        <v>150.9</v>
      </c>
    </row>
    <row r="37" spans="13:44" x14ac:dyDescent="0.3">
      <c r="M37" s="53" t="s">
        <v>35</v>
      </c>
      <c r="N37" s="53">
        <v>2021</v>
      </c>
      <c r="O37" s="53" t="s">
        <v>38</v>
      </c>
      <c r="P37" s="53">
        <v>144.1</v>
      </c>
      <c r="Q37" s="53">
        <v>192.2</v>
      </c>
      <c r="R37" s="53">
        <v>163.80000000000001</v>
      </c>
      <c r="S37" s="53">
        <v>154.9</v>
      </c>
      <c r="T37" s="53">
        <v>163.9</v>
      </c>
      <c r="U37" s="53">
        <v>153.69999999999999</v>
      </c>
      <c r="V37" s="53">
        <v>149.5</v>
      </c>
      <c r="W37" s="53">
        <v>159.80000000000001</v>
      </c>
      <c r="X37" s="53">
        <v>112.6</v>
      </c>
      <c r="Y37" s="53">
        <v>163.5</v>
      </c>
      <c r="Z37" s="53">
        <v>156.5</v>
      </c>
      <c r="AA37" s="53">
        <v>168.2</v>
      </c>
      <c r="AB37" s="53">
        <v>156.69999999999999</v>
      </c>
      <c r="AC37" s="53">
        <v>188.1</v>
      </c>
      <c r="AD37" s="53">
        <v>157.80000000000001</v>
      </c>
      <c r="AE37" s="53">
        <v>147.9</v>
      </c>
      <c r="AF37" s="53">
        <v>156.4</v>
      </c>
      <c r="AG37" s="53" t="s">
        <v>140</v>
      </c>
      <c r="AH37" s="53">
        <v>155.5</v>
      </c>
      <c r="AI37" s="53">
        <v>151.19999999999999</v>
      </c>
      <c r="AJ37" s="53">
        <v>161.69999999999999</v>
      </c>
      <c r="AK37" s="53">
        <v>146.19999999999999</v>
      </c>
      <c r="AL37" s="53">
        <v>152.6</v>
      </c>
      <c r="AM37" s="53">
        <v>160.19999999999999</v>
      </c>
      <c r="AN37" s="53">
        <v>153.80000000000001</v>
      </c>
      <c r="AO37" s="53">
        <v>153.80000000000001</v>
      </c>
      <c r="AP37" s="53">
        <v>156.80000000000001</v>
      </c>
      <c r="AQ37" s="53">
        <v>2039.3999999999999</v>
      </c>
      <c r="AR37" s="53">
        <f t="shared" si="0"/>
        <v>151.19999999999999</v>
      </c>
    </row>
    <row r="38" spans="13:44" x14ac:dyDescent="0.3">
      <c r="M38" t="s">
        <v>35</v>
      </c>
      <c r="N38">
        <v>2021</v>
      </c>
      <c r="O38" t="s">
        <v>39</v>
      </c>
      <c r="P38">
        <v>144.30000000000001</v>
      </c>
      <c r="Q38">
        <v>198</v>
      </c>
      <c r="R38">
        <v>164.6</v>
      </c>
      <c r="S38">
        <v>155.4</v>
      </c>
      <c r="T38">
        <v>170.1</v>
      </c>
      <c r="U38">
        <v>164.4</v>
      </c>
      <c r="V38">
        <v>144.1</v>
      </c>
      <c r="W38">
        <v>161.69999999999999</v>
      </c>
      <c r="X38">
        <v>113.1</v>
      </c>
      <c r="Y38">
        <v>163.9</v>
      </c>
      <c r="Z38">
        <v>157.6</v>
      </c>
      <c r="AA38">
        <v>168.9</v>
      </c>
      <c r="AB38">
        <v>158</v>
      </c>
      <c r="AC38">
        <v>188.8</v>
      </c>
      <c r="AD38">
        <v>158.80000000000001</v>
      </c>
      <c r="AE38">
        <v>148.5</v>
      </c>
      <c r="AF38">
        <v>157.30000000000001</v>
      </c>
      <c r="AG38" t="s">
        <v>141</v>
      </c>
      <c r="AH38">
        <v>155.6</v>
      </c>
      <c r="AI38">
        <v>151.80000000000001</v>
      </c>
      <c r="AJ38" s="49">
        <v>162.30000000000001</v>
      </c>
      <c r="AK38" s="49">
        <v>146.6</v>
      </c>
      <c r="AL38">
        <v>153.19999999999999</v>
      </c>
      <c r="AM38">
        <v>160.30000000000001</v>
      </c>
      <c r="AN38">
        <v>155.4</v>
      </c>
      <c r="AO38">
        <v>154.4</v>
      </c>
      <c r="AP38">
        <v>157.80000000000001</v>
      </c>
      <c r="AQ38" s="49">
        <v>2064.1</v>
      </c>
      <c r="AR38" s="49">
        <f t="shared" si="0"/>
        <v>151.80000000000001</v>
      </c>
    </row>
    <row r="39" spans="13:44" x14ac:dyDescent="0.3">
      <c r="M39" t="s">
        <v>35</v>
      </c>
      <c r="N39">
        <v>2021</v>
      </c>
      <c r="O39" t="s">
        <v>41</v>
      </c>
      <c r="P39">
        <v>146.30000000000001</v>
      </c>
      <c r="Q39">
        <v>200.5</v>
      </c>
      <c r="R39">
        <v>170.3</v>
      </c>
      <c r="S39">
        <v>156.1</v>
      </c>
      <c r="T39">
        <v>178.7</v>
      </c>
      <c r="U39">
        <v>167.1</v>
      </c>
      <c r="V39">
        <v>147.9</v>
      </c>
      <c r="W39">
        <v>165.4</v>
      </c>
      <c r="X39">
        <v>114.8</v>
      </c>
      <c r="Y39">
        <v>168.2</v>
      </c>
      <c r="Z39">
        <v>159.30000000000001</v>
      </c>
      <c r="AA39">
        <v>170.4</v>
      </c>
      <c r="AB39">
        <v>160.69999999999999</v>
      </c>
      <c r="AC39">
        <v>191.9</v>
      </c>
      <c r="AD39">
        <v>161.80000000000001</v>
      </c>
      <c r="AE39">
        <v>152.1</v>
      </c>
      <c r="AF39">
        <v>160.4</v>
      </c>
      <c r="AG39" t="s">
        <v>142</v>
      </c>
      <c r="AH39">
        <v>159.4</v>
      </c>
      <c r="AI39">
        <v>154.69999999999999</v>
      </c>
      <c r="AJ39" s="49">
        <v>165.8</v>
      </c>
      <c r="AK39" s="49">
        <v>148.9</v>
      </c>
      <c r="AL39">
        <v>155.80000000000001</v>
      </c>
      <c r="AM39">
        <v>161.19999999999999</v>
      </c>
      <c r="AN39">
        <v>158.6</v>
      </c>
      <c r="AO39">
        <v>156.80000000000001</v>
      </c>
      <c r="AP39">
        <v>160.4</v>
      </c>
      <c r="AQ39" s="49">
        <v>2105.7000000000003</v>
      </c>
      <c r="AR39" s="49">
        <f t="shared" si="0"/>
        <v>154.69999999999999</v>
      </c>
    </row>
    <row r="40" spans="13:44" x14ac:dyDescent="0.3">
      <c r="M40" t="s">
        <v>35</v>
      </c>
      <c r="N40">
        <v>2021</v>
      </c>
      <c r="O40" t="s">
        <v>42</v>
      </c>
      <c r="P40">
        <v>146.69999999999999</v>
      </c>
      <c r="Q40">
        <v>202</v>
      </c>
      <c r="R40">
        <v>180.7</v>
      </c>
      <c r="S40">
        <v>156.19999999999999</v>
      </c>
      <c r="T40">
        <v>183.7</v>
      </c>
      <c r="U40">
        <v>164.6</v>
      </c>
      <c r="V40">
        <v>155.4</v>
      </c>
      <c r="W40">
        <v>166</v>
      </c>
      <c r="X40">
        <v>115.1</v>
      </c>
      <c r="Y40">
        <v>168.5</v>
      </c>
      <c r="Z40">
        <v>160</v>
      </c>
      <c r="AA40">
        <v>172.4</v>
      </c>
      <c r="AB40">
        <v>162.6</v>
      </c>
      <c r="AC40">
        <v>190.8</v>
      </c>
      <c r="AD40">
        <v>162.19999999999999</v>
      </c>
      <c r="AE40">
        <v>151.80000000000001</v>
      </c>
      <c r="AF40">
        <v>160.69999999999999</v>
      </c>
      <c r="AG40" t="s">
        <v>143</v>
      </c>
      <c r="AH40">
        <v>159.80000000000001</v>
      </c>
      <c r="AI40">
        <v>154.80000000000001</v>
      </c>
      <c r="AJ40" s="49">
        <v>166.3</v>
      </c>
      <c r="AK40" s="49">
        <v>150.69999999999999</v>
      </c>
      <c r="AL40">
        <v>154.9</v>
      </c>
      <c r="AM40">
        <v>161.69999999999999</v>
      </c>
      <c r="AN40">
        <v>158.80000000000001</v>
      </c>
      <c r="AO40">
        <v>157.6</v>
      </c>
      <c r="AP40">
        <v>161.30000000000001</v>
      </c>
      <c r="AQ40" s="49">
        <v>2133.9</v>
      </c>
      <c r="AR40" s="49">
        <f t="shared" si="0"/>
        <v>154.80000000000001</v>
      </c>
    </row>
    <row r="41" spans="13:44" x14ac:dyDescent="0.3">
      <c r="M41" t="s">
        <v>35</v>
      </c>
      <c r="N41">
        <v>2021</v>
      </c>
      <c r="O41" t="s">
        <v>44</v>
      </c>
      <c r="P41">
        <v>146.4</v>
      </c>
      <c r="Q41">
        <v>206.8</v>
      </c>
      <c r="R41">
        <v>182.2</v>
      </c>
      <c r="S41">
        <v>157.5</v>
      </c>
      <c r="T41">
        <v>182.1</v>
      </c>
      <c r="U41">
        <v>163.9</v>
      </c>
      <c r="V41">
        <v>164.2</v>
      </c>
      <c r="W41">
        <v>164</v>
      </c>
      <c r="X41">
        <v>114.5</v>
      </c>
      <c r="Y41">
        <v>168.3</v>
      </c>
      <c r="Z41">
        <v>160.9</v>
      </c>
      <c r="AA41">
        <v>172.2</v>
      </c>
      <c r="AB41">
        <v>164</v>
      </c>
      <c r="AC41">
        <v>191.2</v>
      </c>
      <c r="AD41">
        <v>162.80000000000001</v>
      </c>
      <c r="AE41">
        <v>153.1</v>
      </c>
      <c r="AF41">
        <v>161.4</v>
      </c>
      <c r="AG41" t="s">
        <v>144</v>
      </c>
      <c r="AH41">
        <v>160.69999999999999</v>
      </c>
      <c r="AI41">
        <v>155.80000000000001</v>
      </c>
      <c r="AJ41" s="49">
        <v>167</v>
      </c>
      <c r="AK41" s="49">
        <v>153.1</v>
      </c>
      <c r="AL41">
        <v>155.30000000000001</v>
      </c>
      <c r="AM41">
        <v>163.19999999999999</v>
      </c>
      <c r="AN41">
        <v>160.1</v>
      </c>
      <c r="AO41">
        <v>159</v>
      </c>
      <c r="AP41">
        <v>162.5</v>
      </c>
      <c r="AQ41" s="49">
        <v>2147</v>
      </c>
      <c r="AR41" s="49">
        <f t="shared" si="0"/>
        <v>155.80000000000001</v>
      </c>
    </row>
    <row r="42" spans="13:44" x14ac:dyDescent="0.3">
      <c r="M42" t="s">
        <v>35</v>
      </c>
      <c r="N42">
        <v>2021</v>
      </c>
      <c r="O42" t="s">
        <v>46</v>
      </c>
      <c r="P42">
        <v>146.6</v>
      </c>
      <c r="Q42">
        <v>204</v>
      </c>
      <c r="R42">
        <v>172.8</v>
      </c>
      <c r="S42">
        <v>158.4</v>
      </c>
      <c r="T42">
        <v>188</v>
      </c>
      <c r="U42">
        <v>156.80000000000001</v>
      </c>
      <c r="V42">
        <v>162.19999999999999</v>
      </c>
      <c r="W42">
        <v>164.1</v>
      </c>
      <c r="X42">
        <v>119.7</v>
      </c>
      <c r="Y42">
        <v>168.8</v>
      </c>
      <c r="Z42">
        <v>162.69999999999999</v>
      </c>
      <c r="AA42">
        <v>173.9</v>
      </c>
      <c r="AB42">
        <v>164</v>
      </c>
      <c r="AC42">
        <v>192.1</v>
      </c>
      <c r="AD42">
        <v>164.5</v>
      </c>
      <c r="AE42">
        <v>155.30000000000001</v>
      </c>
      <c r="AF42">
        <v>163.19999999999999</v>
      </c>
      <c r="AG42" t="s">
        <v>145</v>
      </c>
      <c r="AH42">
        <v>162.6</v>
      </c>
      <c r="AI42">
        <v>157.5</v>
      </c>
      <c r="AJ42" s="49">
        <v>168.4</v>
      </c>
      <c r="AK42" s="49">
        <v>154</v>
      </c>
      <c r="AL42">
        <v>157.6</v>
      </c>
      <c r="AM42">
        <v>163.80000000000001</v>
      </c>
      <c r="AN42">
        <v>160</v>
      </c>
      <c r="AO42">
        <v>160</v>
      </c>
      <c r="AP42">
        <v>163.19999999999999</v>
      </c>
      <c r="AQ42" s="49">
        <v>2142</v>
      </c>
      <c r="AR42" s="49">
        <f t="shared" si="0"/>
        <v>157.5</v>
      </c>
    </row>
    <row r="43" spans="13:44" x14ac:dyDescent="0.3">
      <c r="M43" t="s">
        <v>35</v>
      </c>
      <c r="N43">
        <v>2021</v>
      </c>
      <c r="O43" t="s">
        <v>48</v>
      </c>
      <c r="P43">
        <v>146.6</v>
      </c>
      <c r="Q43">
        <v>204</v>
      </c>
      <c r="R43">
        <v>172.8</v>
      </c>
      <c r="S43">
        <v>158.4</v>
      </c>
      <c r="T43">
        <v>188</v>
      </c>
      <c r="U43">
        <v>156.69999999999999</v>
      </c>
      <c r="V43">
        <v>162.30000000000001</v>
      </c>
      <c r="W43">
        <v>164.1</v>
      </c>
      <c r="X43">
        <v>119.7</v>
      </c>
      <c r="Y43">
        <v>168.8</v>
      </c>
      <c r="Z43">
        <v>162.69999999999999</v>
      </c>
      <c r="AA43">
        <v>173.9</v>
      </c>
      <c r="AB43">
        <v>164</v>
      </c>
      <c r="AC43">
        <v>192.1</v>
      </c>
      <c r="AD43">
        <v>164.6</v>
      </c>
      <c r="AE43">
        <v>155.30000000000001</v>
      </c>
      <c r="AF43">
        <v>163.30000000000001</v>
      </c>
      <c r="AG43" t="s">
        <v>145</v>
      </c>
      <c r="AH43">
        <v>162.6</v>
      </c>
      <c r="AI43">
        <v>157.5</v>
      </c>
      <c r="AJ43" s="49">
        <v>168.4</v>
      </c>
      <c r="AK43" s="49">
        <v>154</v>
      </c>
      <c r="AL43">
        <v>157.69999999999999</v>
      </c>
      <c r="AM43">
        <v>163.69999999999999</v>
      </c>
      <c r="AN43">
        <v>160</v>
      </c>
      <c r="AO43">
        <v>160</v>
      </c>
      <c r="AP43">
        <v>163.19999999999999</v>
      </c>
      <c r="AQ43" s="49">
        <v>2142</v>
      </c>
      <c r="AR43" s="49">
        <f t="shared" si="0"/>
        <v>157.5</v>
      </c>
    </row>
    <row r="44" spans="13:44" x14ac:dyDescent="0.3">
      <c r="M44" t="s">
        <v>35</v>
      </c>
      <c r="N44">
        <v>2021</v>
      </c>
      <c r="O44" t="s">
        <v>50</v>
      </c>
      <c r="P44">
        <v>147.4</v>
      </c>
      <c r="Q44">
        <v>204.6</v>
      </c>
      <c r="R44">
        <v>171.2</v>
      </c>
      <c r="S44">
        <v>158.69999999999999</v>
      </c>
      <c r="T44">
        <v>190.6</v>
      </c>
      <c r="U44">
        <v>155.69999999999999</v>
      </c>
      <c r="V44">
        <v>185.3</v>
      </c>
      <c r="W44">
        <v>165.2</v>
      </c>
      <c r="X44">
        <v>121.9</v>
      </c>
      <c r="Y44">
        <v>169.3</v>
      </c>
      <c r="Z44">
        <v>163.19999999999999</v>
      </c>
      <c r="AA44">
        <v>174.7</v>
      </c>
      <c r="AB44">
        <v>167.7</v>
      </c>
      <c r="AC44">
        <v>192.7</v>
      </c>
      <c r="AD44">
        <v>165.7</v>
      </c>
      <c r="AE44">
        <v>156.30000000000001</v>
      </c>
      <c r="AF44">
        <v>164.3</v>
      </c>
      <c r="AG44" t="s">
        <v>146</v>
      </c>
      <c r="AH44">
        <v>164.2</v>
      </c>
      <c r="AI44">
        <v>158.4</v>
      </c>
      <c r="AJ44" s="49">
        <v>169.1</v>
      </c>
      <c r="AK44" s="49">
        <v>155.69999999999999</v>
      </c>
      <c r="AL44">
        <v>158.6</v>
      </c>
      <c r="AM44">
        <v>163.9</v>
      </c>
      <c r="AN44">
        <v>160.80000000000001</v>
      </c>
      <c r="AO44">
        <v>161</v>
      </c>
      <c r="AP44">
        <v>165.5</v>
      </c>
      <c r="AQ44" s="49">
        <v>2175.5</v>
      </c>
      <c r="AR44" s="49">
        <f t="shared" si="0"/>
        <v>158.4</v>
      </c>
    </row>
    <row r="45" spans="13:44" x14ac:dyDescent="0.3">
      <c r="M45" t="s">
        <v>35</v>
      </c>
      <c r="N45">
        <v>2021</v>
      </c>
      <c r="O45" t="s">
        <v>53</v>
      </c>
      <c r="P45">
        <v>148.19999999999999</v>
      </c>
      <c r="Q45">
        <v>201.6</v>
      </c>
      <c r="R45">
        <v>173</v>
      </c>
      <c r="S45">
        <v>159.30000000000001</v>
      </c>
      <c r="T45">
        <v>190.1</v>
      </c>
      <c r="U45">
        <v>156.5</v>
      </c>
      <c r="V45">
        <v>199.2</v>
      </c>
      <c r="W45">
        <v>165.3</v>
      </c>
      <c r="X45">
        <v>122.4</v>
      </c>
      <c r="Y45">
        <v>169.6</v>
      </c>
      <c r="Z45">
        <v>163.69999999999999</v>
      </c>
      <c r="AA45">
        <v>175.5</v>
      </c>
      <c r="AB45">
        <v>169.7</v>
      </c>
      <c r="AC45">
        <v>192.9</v>
      </c>
      <c r="AD45">
        <v>167.2</v>
      </c>
      <c r="AE45">
        <v>157.4</v>
      </c>
      <c r="AF45">
        <v>165.8</v>
      </c>
      <c r="AG45" t="s">
        <v>147</v>
      </c>
      <c r="AH45">
        <v>163.9</v>
      </c>
      <c r="AI45">
        <v>159.30000000000001</v>
      </c>
      <c r="AJ45" s="49">
        <v>169.9</v>
      </c>
      <c r="AK45" s="49">
        <v>154.80000000000001</v>
      </c>
      <c r="AL45">
        <v>159.80000000000001</v>
      </c>
      <c r="AM45">
        <v>164.3</v>
      </c>
      <c r="AN45">
        <v>162.19999999999999</v>
      </c>
      <c r="AO45">
        <v>161.4</v>
      </c>
      <c r="AP45">
        <v>166.7</v>
      </c>
      <c r="AQ45" s="49">
        <v>2194.1</v>
      </c>
      <c r="AR45" s="49">
        <f t="shared" si="0"/>
        <v>159.30000000000001</v>
      </c>
    </row>
    <row r="46" spans="13:44" x14ac:dyDescent="0.3">
      <c r="M46" t="s">
        <v>35</v>
      </c>
      <c r="N46">
        <v>2021</v>
      </c>
      <c r="O46" t="s">
        <v>55</v>
      </c>
      <c r="P46">
        <v>148.69999999999999</v>
      </c>
      <c r="Q46">
        <v>198.8</v>
      </c>
      <c r="R46">
        <v>177.9</v>
      </c>
      <c r="S46">
        <v>159.9</v>
      </c>
      <c r="T46">
        <v>187.6</v>
      </c>
      <c r="U46">
        <v>154.9</v>
      </c>
      <c r="V46">
        <v>188.3</v>
      </c>
      <c r="W46">
        <v>164.4</v>
      </c>
      <c r="X46">
        <v>121</v>
      </c>
      <c r="Y46">
        <v>170.5</v>
      </c>
      <c r="Z46">
        <v>164.2</v>
      </c>
      <c r="AA46">
        <v>176.5</v>
      </c>
      <c r="AB46">
        <v>168.2</v>
      </c>
      <c r="AC46">
        <v>192.4</v>
      </c>
      <c r="AD46">
        <v>168.5</v>
      </c>
      <c r="AE46">
        <v>158.69999999999999</v>
      </c>
      <c r="AF46">
        <v>167</v>
      </c>
      <c r="AG46" t="s">
        <v>148</v>
      </c>
      <c r="AH46">
        <v>164.1</v>
      </c>
      <c r="AI46">
        <v>160.19999999999999</v>
      </c>
      <c r="AJ46" s="49">
        <v>170.6</v>
      </c>
      <c r="AK46" s="49">
        <v>155.69999999999999</v>
      </c>
      <c r="AL46">
        <v>160.6</v>
      </c>
      <c r="AM46">
        <v>164.4</v>
      </c>
      <c r="AN46">
        <v>162.6</v>
      </c>
      <c r="AO46">
        <v>162</v>
      </c>
      <c r="AP46">
        <v>166.2</v>
      </c>
      <c r="AQ46" s="49">
        <v>2180.9</v>
      </c>
      <c r="AR46" s="49">
        <f t="shared" si="0"/>
        <v>160.19999999999999</v>
      </c>
    </row>
    <row r="47" spans="13:44" x14ac:dyDescent="0.3">
      <c r="M47" t="s">
        <v>35</v>
      </c>
      <c r="N47">
        <v>2022</v>
      </c>
      <c r="O47" t="s">
        <v>31</v>
      </c>
      <c r="P47">
        <v>149.5</v>
      </c>
      <c r="Q47">
        <v>198.7</v>
      </c>
      <c r="R47">
        <v>178.8</v>
      </c>
      <c r="S47">
        <v>160.5</v>
      </c>
      <c r="T47">
        <v>184.7</v>
      </c>
      <c r="U47">
        <v>153.69999999999999</v>
      </c>
      <c r="V47">
        <v>174.3</v>
      </c>
      <c r="W47">
        <v>163.9</v>
      </c>
      <c r="X47">
        <v>120</v>
      </c>
      <c r="Y47">
        <v>172.1</v>
      </c>
      <c r="Z47">
        <v>164.3</v>
      </c>
      <c r="AA47">
        <v>177.3</v>
      </c>
      <c r="AB47">
        <v>166.4</v>
      </c>
      <c r="AC47">
        <v>192.2</v>
      </c>
      <c r="AD47">
        <v>169.9</v>
      </c>
      <c r="AE47">
        <v>160.69999999999999</v>
      </c>
      <c r="AF47">
        <v>168.5</v>
      </c>
      <c r="AG47" t="s">
        <v>149</v>
      </c>
      <c r="AH47">
        <v>164.2</v>
      </c>
      <c r="AI47">
        <v>161.1</v>
      </c>
      <c r="AJ47" s="49">
        <v>171.4</v>
      </c>
      <c r="AK47" s="49">
        <v>156.5</v>
      </c>
      <c r="AL47">
        <v>161.19999999999999</v>
      </c>
      <c r="AM47">
        <v>164.7</v>
      </c>
      <c r="AN47">
        <v>163</v>
      </c>
      <c r="AO47">
        <v>162.69999999999999</v>
      </c>
      <c r="AP47">
        <v>165.7</v>
      </c>
      <c r="AQ47" s="49">
        <v>2164.1999999999998</v>
      </c>
      <c r="AR47" s="49">
        <f t="shared" si="0"/>
        <v>161.1</v>
      </c>
    </row>
    <row r="48" spans="13:44" x14ac:dyDescent="0.3">
      <c r="M48" s="53" t="s">
        <v>35</v>
      </c>
      <c r="N48" s="53">
        <v>2022</v>
      </c>
      <c r="O48" s="53" t="s">
        <v>36</v>
      </c>
      <c r="P48" s="53">
        <v>150</v>
      </c>
      <c r="Q48" s="53">
        <v>200.6</v>
      </c>
      <c r="R48" s="53">
        <v>175.8</v>
      </c>
      <c r="S48" s="53">
        <v>160.69999999999999</v>
      </c>
      <c r="T48" s="53">
        <v>184.9</v>
      </c>
      <c r="U48" s="53">
        <v>153.69999999999999</v>
      </c>
      <c r="V48" s="53">
        <v>169.7</v>
      </c>
      <c r="W48" s="53">
        <v>163.69999999999999</v>
      </c>
      <c r="X48" s="53">
        <v>118.9</v>
      </c>
      <c r="Y48" s="53">
        <v>174.3</v>
      </c>
      <c r="Z48" s="53">
        <v>164.7</v>
      </c>
      <c r="AA48" s="53">
        <v>178</v>
      </c>
      <c r="AB48" s="53">
        <v>166.2</v>
      </c>
      <c r="AC48" s="53">
        <v>192.8</v>
      </c>
      <c r="AD48" s="53">
        <v>170.8</v>
      </c>
      <c r="AE48" s="53">
        <v>162.4</v>
      </c>
      <c r="AF48" s="53">
        <v>169.6</v>
      </c>
      <c r="AG48" s="53" t="s">
        <v>150</v>
      </c>
      <c r="AH48" s="53">
        <v>165.7</v>
      </c>
      <c r="AI48" s="53">
        <v>161.80000000000001</v>
      </c>
      <c r="AJ48" s="53">
        <v>172.2</v>
      </c>
      <c r="AK48" s="53">
        <v>156.9</v>
      </c>
      <c r="AL48" s="53">
        <v>162.1</v>
      </c>
      <c r="AM48" s="53">
        <v>165.4</v>
      </c>
      <c r="AN48" s="53">
        <v>164.4</v>
      </c>
      <c r="AO48" s="53">
        <v>163.5</v>
      </c>
      <c r="AP48" s="53">
        <v>166.1</v>
      </c>
      <c r="AQ48" s="53">
        <v>2161.2000000000003</v>
      </c>
      <c r="AR48" s="53">
        <f t="shared" si="0"/>
        <v>161.80000000000001</v>
      </c>
    </row>
  </sheetData>
  <mergeCells count="1">
    <mergeCell ref="AU1:AY1"/>
  </mergeCells>
  <pageMargins left="0.7" right="0.7" top="0.75" bottom="0.75" header="0.3" footer="0.3"/>
  <ignoredErrors>
    <ignoredError sqref="AJ27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C2F8E4-F7C9-494D-8E91-6DAB01DA4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main data</vt:lpstr>
      <vt:lpstr>data dictionary</vt:lpstr>
      <vt:lpstr>notes</vt:lpstr>
      <vt:lpstr>obj 1 EDA &amp; ANALYSIS</vt:lpstr>
      <vt:lpstr>obj 2 EDA &amp;ANALYSIS</vt:lpstr>
      <vt:lpstr>obj 3 EDA&amp;ANALYSIS</vt:lpstr>
      <vt:lpstr>OBJ 4 EDA&amp;ANALYSIS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kashyap</dc:creator>
  <cp:lastModifiedBy>shweta kashyap</cp:lastModifiedBy>
  <dcterms:created xsi:type="dcterms:W3CDTF">2025-03-11T15:01:29Z</dcterms:created>
  <dcterms:modified xsi:type="dcterms:W3CDTF">2025-03-25T16:47:40Z</dcterms:modified>
</cp:coreProperties>
</file>